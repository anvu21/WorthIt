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 sheetId="1" r:id="rId4"/>
    <sheet state="visible" name="Main" sheetId="2" r:id="rId5"/>
    <sheet state="visible" name="Read Me" sheetId="3" r:id="rId6"/>
  </sheets>
  <definedNames>
    <definedName name="Table">Main!$D:$U</definedName>
    <definedName localSheetId="0" name="Table">Map!$D:$M</definedName>
    <definedName hidden="1" localSheetId="0" name="_xlnm._FilterDatabase">Map!$A$1:$M$243</definedName>
    <definedName hidden="1" localSheetId="1" name="_xlnm._FilterDatabase">Main!$A$1:$U$332</definedName>
  </definedNames>
  <calcPr/>
</workbook>
</file>

<file path=xl/sharedStrings.xml><?xml version="1.0" encoding="utf-8"?>
<sst xmlns="http://schemas.openxmlformats.org/spreadsheetml/2006/main" count="4945" uniqueCount="1512">
  <si>
    <t>Restaurant</t>
  </si>
  <si>
    <t>Featured in Episode:</t>
  </si>
  <si>
    <t>Price Point</t>
  </si>
  <si>
    <t>Season</t>
  </si>
  <si>
    <t>Episode</t>
  </si>
  <si>
    <t>Items ordered</t>
  </si>
  <si>
    <r>
      <rPr>
        <b/>
        <sz val="14.0"/>
      </rPr>
      <t xml:space="preserve">Here are some notes about this spreadsheet:
</t>
    </r>
    <r>
      <rPr>
        <sz val="14.0"/>
      </rPr>
      <t>Original credit goes to reddit user</t>
    </r>
    <r>
      <rPr>
        <color rgb="FF000000"/>
        <sz val="14.0"/>
      </rPr>
      <t xml:space="preserve"> </t>
    </r>
    <r>
      <rPr>
        <color rgb="FF1155CC"/>
        <sz val="14.0"/>
        <u/>
      </rPr>
      <t>u/pauseforasecond</t>
    </r>
    <r>
      <rPr>
        <sz val="14.0"/>
      </rPr>
      <t>, who created the</t>
    </r>
    <r>
      <rPr>
        <color rgb="FF000000"/>
        <sz val="14.0"/>
      </rPr>
      <t xml:space="preserve"> </t>
    </r>
    <r>
      <rPr>
        <color rgb="FF1155CC"/>
        <sz val="14.0"/>
        <u/>
      </rPr>
      <t>first spreadsheet</t>
    </r>
    <r>
      <rPr>
        <sz val="14.0"/>
      </rPr>
      <t xml:space="preserve"> and posted it to</t>
    </r>
    <r>
      <rPr>
        <color rgb="FF000000"/>
        <sz val="14.0"/>
      </rPr>
      <t xml:space="preserve"> </t>
    </r>
    <r>
      <rPr>
        <color rgb="FF1155CC"/>
        <sz val="14.0"/>
        <u/>
      </rPr>
      <t>the FoodNYC subreddit</t>
    </r>
    <r>
      <rPr>
        <sz val="14.0"/>
      </rPr>
      <t xml:space="preserve">. I added a few more columns and added every episode that has been publiushed since the original spreadsheet was created. 
Map Sheet is formatted for importing into Google Maps, it's formatted so each row is a restaurant. It's the first sheet because Google Maps will only import the first sheet in a Google Sheet. The Google Map can be found </t>
    </r>
    <r>
      <rPr>
        <color rgb="FF1155CC"/>
        <sz val="14.0"/>
        <u/>
      </rPr>
      <t>here</t>
    </r>
    <r>
      <rPr>
        <sz val="14.0"/>
      </rPr>
      <t xml:space="preserve">.  
Main Sheet is formatted so that each row is an item featured on the show (whether it was a main item, side trip, etc).
All new entries have the Google Maps link instead of a link to a restaurant's website. 
I started to record which item got who's vote (not just how many votes), but I didn't go back through and do it for all the episodes.
I really like the places that are featured in the Worth It videos, so I just wanted a quick and handy way to be able to see where they are if I'm ever in the vicinity of them.  
</t>
    </r>
  </si>
  <si>
    <t>Restaurant Link</t>
  </si>
  <si>
    <t>Address</t>
  </si>
  <si>
    <t>Video Link</t>
  </si>
  <si>
    <t>Publish Date</t>
  </si>
  <si>
    <t>Chain?</t>
  </si>
  <si>
    <t>Votes</t>
  </si>
  <si>
    <t>Notes</t>
  </si>
  <si>
    <t>Cost</t>
  </si>
  <si>
    <t>Item</t>
  </si>
  <si>
    <t>Episode Name</t>
  </si>
  <si>
    <t>City</t>
  </si>
  <si>
    <t>Country</t>
  </si>
  <si>
    <t>Adam</t>
  </si>
  <si>
    <t>$3 Sushi Vs. $250 Sushi</t>
  </si>
  <si>
    <t>$$</t>
  </si>
  <si>
    <t>Andrew</t>
  </si>
  <si>
    <t>$18.00 - Kinmedai White Ponzu
Nigiri Platter
Cajun Crab Roll</t>
  </si>
  <si>
    <t>Steven</t>
  </si>
  <si>
    <t>http://www.hamasakula.com/</t>
  </si>
  <si>
    <t>Others</t>
  </si>
  <si>
    <t>11043 CA-2, Los Angeles, CA 90025</t>
  </si>
  <si>
    <t>http://www.youtube.com/watch?v=2GZrPR5Ajrs</t>
  </si>
  <si>
    <t>Kinmedai White Ponzu
Nigiri Platter
Cajun Crab Roll</t>
  </si>
  <si>
    <t>no</t>
  </si>
  <si>
    <t>Price per plate</t>
  </si>
  <si>
    <t>Sasabune</t>
  </si>
  <si>
    <t>$$$</t>
  </si>
  <si>
    <t>$250.00 - Omakase</t>
  </si>
  <si>
    <t>https://g.page/sasabuneglendale?share</t>
  </si>
  <si>
    <t>101 N Brand Blvd UNIT 220, Glendale, CA 91023</t>
  </si>
  <si>
    <t>yes</t>
  </si>
  <si>
    <t>Dinner for two</t>
  </si>
  <si>
    <t>Los Angeles</t>
  </si>
  <si>
    <t>USA</t>
  </si>
  <si>
    <t>$</t>
  </si>
  <si>
    <t>$4.00 - Bluefin Nigiri 
$6.00 - Spanish Mackerel
 $2.95 - Spicy Scallap Roll 
$2.95 - Sweet Shrimp Nigiri</t>
  </si>
  <si>
    <t>https://sushistop.com/</t>
  </si>
  <si>
    <t>2218 Sawtelle Blvd, Los Angeles, CA 90064</t>
  </si>
  <si>
    <t>$4 Burger Vs. $777 Burger</t>
  </si>
  <si>
    <t>$777.00 - 777 Burger</t>
  </si>
  <si>
    <t>https://www.caesars.com/paris-las-vegas/restaurants/burger-brasserie</t>
  </si>
  <si>
    <t>3655 S Las Vegas Blvd, Las Vegas, NV 89109</t>
  </si>
  <si>
    <t>http://www.youtube.com/watch?v=wduZHtRbSkY</t>
  </si>
  <si>
    <t>Omakase</t>
  </si>
  <si>
    <t>*</t>
  </si>
  <si>
    <t>Spciy Scallap Roll</t>
  </si>
  <si>
    <t>$18.00 - Hog Burger</t>
  </si>
  <si>
    <t>https://www.caesars.com/planet-hollywood/restaurants/ramsay</t>
  </si>
  <si>
    <t>3667 S Las Vegas Blvd, Las Vegas, NV 89109</t>
  </si>
  <si>
    <t>$4.15 - Double Charburger</t>
  </si>
  <si>
    <t>Sweet Shrimp Nigiri</t>
  </si>
  <si>
    <t>https://www.habitburger.com/</t>
  </si>
  <si>
    <t>4830 Blue Diamond Rd, Las Vegas, NV 89139</t>
  </si>
  <si>
    <t>Bluefin Nigiri</t>
  </si>
  <si>
    <t>$5 Pizza Vs. $135 Pizza</t>
  </si>
  <si>
    <t>$7.95 - Green Stripe
$5.25 - Simple Pie</t>
  </si>
  <si>
    <t>https://www.blazepizza.com/locations/los-angeles-usc/</t>
  </si>
  <si>
    <t>667 E Colorado Blvd, Pasadena, CA 91101</t>
  </si>
  <si>
    <t>http://www.youtube.com/watch?v=vzSfnduxNDg</t>
  </si>
  <si>
    <t>Spanish Mackerel</t>
  </si>
  <si>
    <t>777 Burger</t>
  </si>
  <si>
    <t>$23.00 - Squash Blossoms</t>
  </si>
  <si>
    <t>https://pizzeriamozza.com/</t>
  </si>
  <si>
    <t>641 N Highland Ave, Los Angeles, CA 90036</t>
  </si>
  <si>
    <t>$5 Pizza Vs. $135 Pizza
$4 Dessert Vs. $235 Dessert</t>
  </si>
  <si>
    <t>1
10</t>
  </si>
  <si>
    <t>3
3</t>
  </si>
  <si>
    <t>$135.00 - Italian Summer Truffle
$235.00 - Dessert Tasting Menu
Enlish Muffin with Sea Urchin
$69.00 Keluga Caviar Rye Tart
Hokkaido Scallop Ceviche
Charred Sunchoke
$39.00 Sautéed Maine Monkfish
$52.00 Lacquered Liberty Farm's Duck Breast</t>
  </si>
  <si>
    <t>www.wolfgangpuck.com/dining/spago/</t>
  </si>
  <si>
    <t>Las Vegas</t>
  </si>
  <si>
    <t>176 N Canon Dr, Beverly Hills, CA 90210</t>
  </si>
  <si>
    <t>http://www.youtube.com/watch?v=vzSfnduxNDg
https://youtu.be/Bhos_P4a-JQ?t=854</t>
  </si>
  <si>
    <t>10/2/2016
12/11/2021</t>
  </si>
  <si>
    <t>Desser Oyster, Hasselback Apple, Chestnut Souffle; non of these appear to be on the Spago menu</t>
  </si>
  <si>
    <t>Hog Burger</t>
  </si>
  <si>
    <t>$11 Steak Vs. $306 Steak</t>
  </si>
  <si>
    <t>$306.00 - Japanese Pure Wagyu</t>
  </si>
  <si>
    <t>http://wolfgangpuck.com/dining/cut-beverly-hills/</t>
  </si>
  <si>
    <t>9500 Wilshire Blvd, Beverly Hills, CA 90212</t>
  </si>
  <si>
    <t>http://www.youtube.com/watch?v=Z5FoX3ju2J0</t>
  </si>
  <si>
    <t>Double Charburger</t>
  </si>
  <si>
    <t>Simple Pie</t>
  </si>
  <si>
    <t>$72.00 - Dry-Aged Rib Eye</t>
  </si>
  <si>
    <t>https://www.patinagroup.com/nick-and-stefs-steakhouse-la</t>
  </si>
  <si>
    <t>330 S Hope St, Los Angeles, CA 90071</t>
  </si>
  <si>
    <t>$11.00 - Steak and Eggs</t>
  </si>
  <si>
    <t>https://unclejohnsdtla.com/</t>
  </si>
  <si>
    <t>834 S Grand Ave, Los Angeles, CA 90017</t>
  </si>
  <si>
    <t>$8 Pasta Vs. $100 Pasta</t>
  </si>
  <si>
    <t>$100.00 - Flambeed White Truffle Pasta</t>
  </si>
  <si>
    <t>http://lepetitparisla.com/</t>
  </si>
  <si>
    <t>418 S Spring St, Los Angeles, CA 90013</t>
  </si>
  <si>
    <t>http://www.youtube.com/watch?v=NHiqsrYkcuk</t>
  </si>
  <si>
    <t>Green Stripe</t>
  </si>
  <si>
    <t>$19.75 - Bigoli Neri Alla Bottarga
$19.25 - Pappardelle All'anatra</t>
  </si>
  <si>
    <t>https://www.osteriamamma.com/</t>
  </si>
  <si>
    <t>5732 Melrose Ave, Hollywood, CA 90004</t>
  </si>
  <si>
    <t>Squash Blossoms</t>
  </si>
  <si>
    <t>$15.25 - Gnocchi Porcini
$12.50 - Spaghetti Bottarga
$8.25 - Tagliatella Arrabbiata</t>
  </si>
  <si>
    <t>https://www.pastasisters.com/</t>
  </si>
  <si>
    <t>3343 W Pico Blvd, Los Angeles, CA 90019</t>
  </si>
  <si>
    <t>**</t>
  </si>
  <si>
    <t>$2 Hot Dog Vs. $169 Hot Dog</t>
  </si>
  <si>
    <t>$169.00 - Juuni Ban</t>
  </si>
  <si>
    <t>https://www.tokyodog.com/</t>
  </si>
  <si>
    <t>2nd Ave &amp;, Pike St, Seattle, WA 98111</t>
  </si>
  <si>
    <t>http://www.youtube.com/watch?v=6R8n6FbXVc8</t>
  </si>
  <si>
    <t>Italian Summer Truffle</t>
  </si>
  <si>
    <t>Japanese Pure Wagyu</t>
  </si>
  <si>
    <t>$8 Salmon vs $56 Salmon</t>
  </si>
  <si>
    <t>$8.25 - Salmon Fish &amp; Chips</t>
  </si>
  <si>
    <t>http://www.emeraldcityfishandchips.com/</t>
  </si>
  <si>
    <t>3756 Rainier Ave S, Seattle, WA 98144</t>
  </si>
  <si>
    <t>$25.00 - Chinook King Salmon</t>
  </si>
  <si>
    <t>https://www.ivars.com/locations/salmon-house</t>
  </si>
  <si>
    <t>401 NE Northlake Way, Seattle, WA 98105</t>
  </si>
  <si>
    <t>$2.00 - Kosher Dog
$6.00 - Sweet &amp; Spicy</t>
  </si>
  <si>
    <t>https://viciousdogshotdogs.com/</t>
  </si>
  <si>
    <t>5231 Lankershim Blvd, North Hollywood, CA 91601</t>
  </si>
  <si>
    <t>Dry-Aged Rib Eye</t>
  </si>
  <si>
    <t>$8.50 - Lamb with Mediterranean Spices
$8.50 - Rattlesnake &amp; Rabbit</t>
  </si>
  <si>
    <t>https://www.wurstkuche.com/</t>
  </si>
  <si>
    <t>800 E 3rd St, Los Angeles, CA 90013</t>
  </si>
  <si>
    <t>$56.00 - King Salmon</t>
  </si>
  <si>
    <t>https://elgaucho.com/dine/aqua/</t>
  </si>
  <si>
    <t>Steak and Eggs</t>
  </si>
  <si>
    <t>2801 Alaskan Way, Seattle, WA 98121</t>
  </si>
  <si>
    <t>http://www.youtube.com/watch?v=V9eeg8d9XEg</t>
  </si>
  <si>
    <t>Flambeed White Truffle Pasta</t>
  </si>
  <si>
    <t>$24 Korean BBQ vs $346 Korean BBQ</t>
  </si>
  <si>
    <t>$345.91 - Korean BBQ</t>
  </si>
  <si>
    <t>https://chosungalbee.com/</t>
  </si>
  <si>
    <t>3330 W Olympic Blvd, Los Angeles, CA 90019</t>
  </si>
  <si>
    <t>http://www.youtube.com/watch?v=GTXP2FzQS94</t>
  </si>
  <si>
    <t>S6E3 starts here</t>
  </si>
  <si>
    <t>OO-KOOK</t>
  </si>
  <si>
    <t>Pappardelle All'anatra</t>
  </si>
  <si>
    <t>Bigoli Neri Alla Bottarga</t>
  </si>
  <si>
    <t>$23.99 - Korean BBQ</t>
  </si>
  <si>
    <t>http://ookookkoreanbbq.top-cafes.com/</t>
  </si>
  <si>
    <t>3385 W 8th St, Los Angeles, CA 90005</t>
  </si>
  <si>
    <t>Per person</t>
  </si>
  <si>
    <t>$65.44 - Korean BBQ</t>
  </si>
  <si>
    <t>https://quarterskbbq.com/</t>
  </si>
  <si>
    <t>3465 W 6th St, Los Angeles, CA 90020</t>
  </si>
  <si>
    <t>$27 Cake Vs. $1,120 Cake</t>
  </si>
  <si>
    <t>$1,120.00 - Custom Cake</t>
  </si>
  <si>
    <t>https://www.bottegalouie.com/</t>
  </si>
  <si>
    <t>700 S Grand Ave, Los Angeles, CA 90017</t>
  </si>
  <si>
    <t>Tagliatella Arrabbiata</t>
  </si>
  <si>
    <t>http://www.youtube.com/watch?v=n4bucphC9r4</t>
  </si>
  <si>
    <t>***</t>
  </si>
  <si>
    <t>Spaghetti Bottarga</t>
  </si>
  <si>
    <t>$26.75 - Milk'n Berries Cake</t>
  </si>
  <si>
    <t>http://www.portosbakery.com/</t>
  </si>
  <si>
    <t>315 N Brand Blvd, Glendale, CA 91203</t>
  </si>
  <si>
    <t>Entire cake</t>
  </si>
  <si>
    <t>$48.00 - Chocolate Espresso Cake</t>
  </si>
  <si>
    <t>http://proofbakery.com/</t>
  </si>
  <si>
    <t>3156 Glendale Blvd, Los Angeles, CA 90039</t>
  </si>
  <si>
    <t>Gnocchi Porcini</t>
  </si>
  <si>
    <t>$1 Donut Vs. $100 Donut</t>
  </si>
  <si>
    <t>$100.00 - Golden Donut</t>
  </si>
  <si>
    <t>http://birdiesla.com/</t>
  </si>
  <si>
    <t>314 W Olympic Blvd, Los Angeles, CA 90015</t>
  </si>
  <si>
    <t>http://www.youtube.com/watch?v=0n89GZvmeXI</t>
  </si>
  <si>
    <t>Juuni Ban</t>
  </si>
  <si>
    <t>$1.00 - Glazed Donut</t>
  </si>
  <si>
    <t>https://www.blinkiesdonuts.com/</t>
  </si>
  <si>
    <t>4884 Topanga Canyon Blvd, Woodland Hills, CA 91364</t>
  </si>
  <si>
    <t>Seattle</t>
  </si>
  <si>
    <t>Kosher Dog</t>
  </si>
  <si>
    <t>The Church Key [CLOSED]</t>
  </si>
  <si>
    <t>$12.00 - Brioche Donuts</t>
  </si>
  <si>
    <t>8730 Sunset Blvd, West Hollywood, CA 90069</t>
  </si>
  <si>
    <t>3 donuts on the plate</t>
  </si>
  <si>
    <t>$7 Buffet Vs. $95 Buffet</t>
  </si>
  <si>
    <t>$8.99 - Buffet Food</t>
  </si>
  <si>
    <t>Sweet &amp; Spicy</t>
  </si>
  <si>
    <t>https://redrock.sclv.com/Dining/Feast-Buffet/Menu-Sp</t>
  </si>
  <si>
    <t>11011 W Charleston Blvd, Las Vegas, NV 89135</t>
  </si>
  <si>
    <t>http://www.youtube.com/watch?v=U61yzVVlUoE</t>
  </si>
  <si>
    <t>Lamb with Mediterranean Spices</t>
  </si>
  <si>
    <t>$95.00 - Buffet Food</t>
  </si>
  <si>
    <t>https://www.caesars.com/ballys-las-vegas/restaurants/sterling-brunch</t>
  </si>
  <si>
    <t>3645 S Las Vegas Blvd, Las Vegas, NV 89109</t>
  </si>
  <si>
    <t>Rattlesnake &amp; Rabbit</t>
  </si>
  <si>
    <t>$49.00 - Buffet Food</t>
  </si>
  <si>
    <t>https://www.cosmopolitanlasvegas.com/restaurants/wicked-spoon</t>
  </si>
  <si>
    <t>The Chelsea Tower, 3708 S Las Vegas Blvd Level 2, Las Vegas, NV 89109</t>
  </si>
  <si>
    <t>King Salmon</t>
  </si>
  <si>
    <t>$47 Taco Vs. $1 Taco</t>
  </si>
  <si>
    <t>$2.75 - Calabacitas
Mole Poblano
Cochinita Pibil</t>
  </si>
  <si>
    <t>http://www.guisados.co/</t>
  </si>
  <si>
    <t>2100 East Cesar E Chavez Avenue, Los Angeles, CA 90033</t>
  </si>
  <si>
    <t>http://www.youtube.com/watch?v=DWq_sSSWWSI</t>
  </si>
  <si>
    <t>Per taco</t>
  </si>
  <si>
    <t>$1.25 - Tacos Al Pastor</t>
  </si>
  <si>
    <t>https://www.leostacostruck.com/</t>
  </si>
  <si>
    <t>1515 South La Brea Ave, Los Angeles, CA 90019</t>
  </si>
  <si>
    <t>Salmon Fish &amp; Chips</t>
  </si>
  <si>
    <t>$47.00 - Caviar Taco</t>
  </si>
  <si>
    <t>https://www.cosmopolitanlasvegas.com/restaurants/rose-rabbit-lie</t>
  </si>
  <si>
    <t>The Chelsea Tower, 3708 Las Vegas Blvd S Level 2, Las Vegas, NV 89109</t>
  </si>
  <si>
    <t>$1 Ice Cream Vs. $1,000 Ice Cream</t>
  </si>
  <si>
    <t>$1.69 - Small Dipped Cone</t>
  </si>
  <si>
    <t>https://www.fostersfreeze.com/</t>
  </si>
  <si>
    <t>4967 Eagle Rock Blvd, Los Angeles, CA 90041</t>
  </si>
  <si>
    <t>Chinook King Salmon</t>
  </si>
  <si>
    <t>http://www.youtube.com/watch?v=rNuIOpfA2HA</t>
  </si>
  <si>
    <t>Korean BBQ</t>
  </si>
  <si>
    <t>$3.95 - One Scoop Brown Bread Maple Black Truffle</t>
  </si>
  <si>
    <t>www.scoopswestside.com/</t>
  </si>
  <si>
    <t>5105 York Blvd, Los Angeles, CA 90042</t>
  </si>
  <si>
    <t>$1,000.00 - Golden Opulence Sundae</t>
  </si>
  <si>
    <t>https://serendipity3.com/</t>
  </si>
  <si>
    <t>225 E 60th St, New York, NY 10022</t>
  </si>
  <si>
    <t>$2 Pizza Vs. $2,000 Pizza • New York City</t>
  </si>
  <si>
    <t>$2,000.00 - The 24K</t>
  </si>
  <si>
    <t>http://industry-kitchen.com/</t>
  </si>
  <si>
    <t>70 South Street, At, Maiden Ln, New York, NY 10038</t>
  </si>
  <si>
    <t>http://www.youtube.com/watch?v=bcdJgjNDsto</t>
  </si>
  <si>
    <t>$2.75 - Cheese Slice</t>
  </si>
  <si>
    <t>http://www.joespizzanyc.com/</t>
  </si>
  <si>
    <t>7 Carmine St, New York, NY 10014</t>
  </si>
  <si>
    <t>$18.00 - Calzone
$13.00 - Marinara Pizza</t>
  </si>
  <si>
    <t>http://www.rossonyc.com/</t>
  </si>
  <si>
    <t>200 5th Ave, New York, NY 10010</t>
  </si>
  <si>
    <t>$4 Cheesecake Vs. $70 Cheesecake</t>
  </si>
  <si>
    <t>$3.90 - Classic Cheesecake</t>
  </si>
  <si>
    <t>http://www.eileenscheesecake.com/</t>
  </si>
  <si>
    <t>17 Cleveland Pl, New York, NY 10012</t>
  </si>
  <si>
    <t>http://www.youtube.com/watch?v=dJJFkOVHEng</t>
  </si>
  <si>
    <t>Custom Cake</t>
  </si>
  <si>
    <t>$70.00 - Gateu Nuage</t>
  </si>
  <si>
    <t>https://www.ladym.com/</t>
  </si>
  <si>
    <t>1178 Broadway, New York, NY 10001</t>
  </si>
  <si>
    <t>$12.00 - Orange Dream Cheesecake</t>
  </si>
  <si>
    <t>http://togrp.com/venue/stk-downtown/</t>
  </si>
  <si>
    <t>26 Little W 12th St, New York, NY 10014</t>
  </si>
  <si>
    <t>$7 Secret Menu Vs. $2,500 Secret Menu</t>
  </si>
  <si>
    <t>$29.00 - Off-Menu Bacon Burger</t>
  </si>
  <si>
    <t>https://www.gramercytavern.com/</t>
  </si>
  <si>
    <t>42 E 20th St, New York, NY 10003</t>
  </si>
  <si>
    <t>http://www.youtube.com/watch?v=oCxJhNLCdAU</t>
  </si>
  <si>
    <t>Milk'n Berries Cake</t>
  </si>
  <si>
    <t>Chocolate Espresso Cake</t>
  </si>
  <si>
    <t>$2,500.00 - Caviar Souffle</t>
  </si>
  <si>
    <t>https://www.petrossian.com/new-york-boutique-cafe</t>
  </si>
  <si>
    <t>911 7th Ave, New York, NY 10019</t>
  </si>
  <si>
    <t>$6.84 - Peanut Butter Bacon Burger</t>
  </si>
  <si>
    <t>https://www.shakeshack.com/food-and-drink/</t>
  </si>
  <si>
    <t>600 3rd Ave, New York, NY 10016</t>
  </si>
  <si>
    <t>Golden Donut</t>
  </si>
  <si>
    <t>$6 Cocktail Vs. $208 Cocktail</t>
  </si>
  <si>
    <t>$208.00 - Penicillin</t>
  </si>
  <si>
    <t>https://www.montagehotels.com/beverlyhills/en/dining/10-pound/</t>
  </si>
  <si>
    <t>225 N Canon Dr, Beverly Hills, CA 90212</t>
  </si>
  <si>
    <t>http://www.youtube.com/watch?v=cV7sxafvBgo</t>
  </si>
  <si>
    <t>$6.00 - Davey's Old Fashioned</t>
  </si>
  <si>
    <t>http://goodtimesatdaveywaynes.com/</t>
  </si>
  <si>
    <t>1611 N El Centro Ave, Los Angeles, CA 90028</t>
  </si>
  <si>
    <t>Glazed Donut</t>
  </si>
  <si>
    <t>$40.00 - Scorpion Bowl</t>
  </si>
  <si>
    <t>https://www.cliftonsla.com/pacific-seas/</t>
  </si>
  <si>
    <t>648 S Broadway, Los Angeles, CA 90014</t>
  </si>
  <si>
    <t>Brioche Donuts</t>
  </si>
  <si>
    <t>$2 Egg Vs. $95 Egg</t>
  </si>
  <si>
    <t>$18.00 - Peeky Toe Crab &amp; Lobster Omelette</t>
  </si>
  <si>
    <t>https://www.connieandteds.com/</t>
  </si>
  <si>
    <t>8171 Santa Monica Blvd, West Hollywood, CA 90046</t>
  </si>
  <si>
    <t>http://www.youtube.com/watch?v=JM1Qgsh2rn0</t>
  </si>
  <si>
    <t>Buffet Food</t>
  </si>
  <si>
    <t>$2.00 - Oolong Tea-Infused Egg</t>
  </si>
  <si>
    <t>http://laotaostreetfood.com/</t>
  </si>
  <si>
    <t>727 North Broadway #207, 2nd floor, Los Angeles, CA 90012</t>
  </si>
  <si>
    <t>1 egg</t>
  </si>
  <si>
    <t>$95.00 - Truggle Egg</t>
  </si>
  <si>
    <t>https://www.melisse.com/</t>
  </si>
  <si>
    <t>1104 Wilshire Blvd, Santa Monica, CA 90401</t>
  </si>
  <si>
    <t>$13 BBQ Ribs Vs. $256 BBQ Ribs • Korea</t>
  </si>
  <si>
    <t>$13.00 - Beef Rib Finger Meat</t>
  </si>
  <si>
    <t>https://www.tripadvisor.com/Restaurant_Review-g294197-d9299919-Reviews-Gangnam_Galmaegi-Seoul.html</t>
  </si>
  <si>
    <t>40 Seocho-daero 73-gil, Seocho 4(sa)-dong, Seocho-gu, Seoul, South Korea</t>
  </si>
  <si>
    <t>http://www.youtube.com/watch?v=6naWCw5LSPc</t>
  </si>
  <si>
    <t>So Deul Nyuk</t>
  </si>
  <si>
    <t>$28.00 - Soy Marinated Beef Ribs</t>
  </si>
  <si>
    <t>https://goo.gl/maps/27fZR8jhiRuRgkmM7</t>
  </si>
  <si>
    <t>232 Hyoryeong-ro, Seocho 3(sam)-dong, Seocho-gu, Seoul, South Korea</t>
  </si>
  <si>
    <t>$256.00 - Hanwoo 'Byeongpung' Beef Ribs</t>
  </si>
  <si>
    <t>https://www.walkerhill.com/grandwalkerhillseoul/en/dining/Myongwolgwan</t>
  </si>
  <si>
    <t>South Korea, Seoul, Gwangjin-gu, Walkerhill-ro, 177 광장동 워커힐로 177 광진구 서울특별시 KR 04963</t>
  </si>
  <si>
    <t>$3 Mac 'N' Cheese Vs. $195 Mac 'N' Cheese</t>
  </si>
  <si>
    <t>$195.00 - Truffle Lobster Mac &amp; Cheese</t>
  </si>
  <si>
    <t>www.bartong.com/</t>
  </si>
  <si>
    <t>861 N La Cienega Blvd, Los Angeles, CA 90069</t>
  </si>
  <si>
    <t>http://www.youtube.com/watch?v=B2COl0ui4Sc</t>
  </si>
  <si>
    <t>Calabacitas
Mole Poblano
Cochinita Pibil</t>
  </si>
  <si>
    <t>$3.00 - Mac &amp; Cheese</t>
  </si>
  <si>
    <t>https://www.facebook.com/ChefMarilynsSoulFoodExpress/</t>
  </si>
  <si>
    <t>2638 Crenshaw Blvd, Los Angeles, CA 90016</t>
  </si>
  <si>
    <t>$13.99 - Craw Mac Deluxe</t>
  </si>
  <si>
    <t>Tacos Al Pastor</t>
  </si>
  <si>
    <t>http://littlejewel.la/</t>
  </si>
  <si>
    <t>207 Ord St, Los Angeles, CA 90012</t>
  </si>
  <si>
    <t>$7 BBQ Ribs Vs. $68 BBQ Ribs</t>
  </si>
  <si>
    <t>$36.00 - Pork Spare Ribs</t>
  </si>
  <si>
    <t>https://barrelandashes.com/</t>
  </si>
  <si>
    <t>11801 Ventura Blvd, Studio City, CA 91604</t>
  </si>
  <si>
    <t>http://www.youtube.com/watch?v=AAeRZX6ann8</t>
  </si>
  <si>
    <t>Caviar Taco</t>
  </si>
  <si>
    <t>No sides</t>
  </si>
  <si>
    <t>$7.00 - 1/2 lb Pork Spare Ribs</t>
  </si>
  <si>
    <t>http://www.bigmista.com/</t>
  </si>
  <si>
    <t>3444 N Los Coyotes Diagonal, Long Beach, CA 90808</t>
  </si>
  <si>
    <t>Small Dipped Cone</t>
  </si>
  <si>
    <t>$68.00 - Full Rack Pork Spare Ribs</t>
  </si>
  <si>
    <t>https://mapleblockmeat.com/</t>
  </si>
  <si>
    <t>3973 Sepulveda Blvd, Culver City, CA 90230</t>
  </si>
  <si>
    <t>$3 Seafood Vs. $213 Seafood • Australia</t>
  </si>
  <si>
    <t>$42.00 - Grilled WA Marren</t>
  </si>
  <si>
    <t>https://www.cirrusdining.com.au/</t>
  </si>
  <si>
    <t>23 Barangaroo Ave, Barangaroo NSW 2000, Australia</t>
  </si>
  <si>
    <t>http://www.youtube.com/watch?v=iXexmZm3_j8</t>
  </si>
  <si>
    <t>One Scoop Brown Bread Maple Black Truffle</t>
  </si>
  <si>
    <t>Price in Australian Dollars</t>
  </si>
  <si>
    <t>$3.00 - Coffin Bay Oyster
Sydney Rock Oyster</t>
  </si>
  <si>
    <t>http://www.doyles.com.au/</t>
  </si>
  <si>
    <t>Sydney Fish Markets, 1 Bank St &amp;, Pyrmont Bridge Rd, Pyrmont NSW 2009, Australia</t>
  </si>
  <si>
    <t>Price per oyster in Australian Dollars</t>
  </si>
  <si>
    <t>Golden Opulence Sundae</t>
  </si>
  <si>
    <t>$213.00 - Braised Whole Green Lip Abalone</t>
  </si>
  <si>
    <t>https://www.crownmelbourne.com.au/restaurants/premium/silks/info-booking</t>
  </si>
  <si>
    <t>Level 1 Crown Towers, Crown Melbourne, 8 Whiteman St, Southbank VIC 3006, Australia</t>
  </si>
  <si>
    <t>New York City</t>
  </si>
  <si>
    <t>$18 Wine Vs. $1,000 Wine</t>
  </si>
  <si>
    <t>The 24K</t>
  </si>
  <si>
    <t>$1,000.00 - Museum Muscadelle
Museum Muscat</t>
  </si>
  <si>
    <t>https://www.allsaintswine.com.au/</t>
  </si>
  <si>
    <t>205 All Saints Rd, Wahgunyah VIC 3687, Australia</t>
  </si>
  <si>
    <t>http://www.youtube.com/watch?v=ZsJSW21oXE0</t>
  </si>
  <si>
    <t>Price per bottle in Australian Dollars</t>
  </si>
  <si>
    <t>$35.00 - Ladies Who Shoot Their Lunch 2016 Shiraz</t>
  </si>
  <si>
    <t>https://www.fowleswine.com/</t>
  </si>
  <si>
    <t>1175 Lambing Gully Rd, Avenel VIC 3664, Australia</t>
  </si>
  <si>
    <t>Cheese Slice</t>
  </si>
  <si>
    <t>$17.95 - 2016 Marsanne</t>
  </si>
  <si>
    <t>http://www.tahbilk.com.au/</t>
  </si>
  <si>
    <t>254 Oneils Rd, Tabilk VIC 3608, Australia</t>
  </si>
  <si>
    <t>$16 Steak Vs. $150 Steak • Australia</t>
  </si>
  <si>
    <t>$63.00 - 500g Grass Fed T-Bone</t>
  </si>
  <si>
    <t>https://donovans.com.au/</t>
  </si>
  <si>
    <t>40 Jacka Blvd, St Kilda VIC 3182, Australia</t>
  </si>
  <si>
    <t>http://www.youtube.com/watch?v=53ivEr2Sd44</t>
  </si>
  <si>
    <t>Marinara Pizza</t>
  </si>
  <si>
    <t>Calzone</t>
  </si>
  <si>
    <t>$150.00 - 300g Sirloin
$69.00 - Eye of Chuck Wagyu Ox</t>
  </si>
  <si>
    <t>http://www.rockpool.com/rockpoolbarandgrillsydney/</t>
  </si>
  <si>
    <t>66 Hunter St, Sydney NSW 2000, Australia</t>
  </si>
  <si>
    <t>Classic Cheesecake</t>
  </si>
  <si>
    <t>$16.00 - 250g Rump Steak with Beans and Mash</t>
  </si>
  <si>
    <t>https://www.clovellyhotel.com.au/</t>
  </si>
  <si>
    <t>381 Clovelly Rd, Clovelly NSW 2031, Australia</t>
  </si>
  <si>
    <t>$17 Fried Chicken Vs. $500 Fried Chicken</t>
  </si>
  <si>
    <t>$500.00 - Caviar &amp; Fried Chicken</t>
  </si>
  <si>
    <t>https://noodlebar-ny.momofuku.com/</t>
  </si>
  <si>
    <t>171 1st Avenue, New York, NY 10003</t>
  </si>
  <si>
    <t>http://www.youtube.com/watch?v=M6XiFKB7j0w</t>
  </si>
  <si>
    <t>Gateu Nuage</t>
  </si>
  <si>
    <t>Orange Dream Cheesecake</t>
  </si>
  <si>
    <t>4-6 people</t>
  </si>
  <si>
    <t>$27.00 - Hot Honey Yard Bird</t>
  </si>
  <si>
    <t>https://www.redroosterharlem.com/</t>
  </si>
  <si>
    <t>310 Malcolm X Blvd, New York, NY 10027</t>
  </si>
  <si>
    <t>Off-Menu Bacon Burger</t>
  </si>
  <si>
    <t>$16.95 - Sylvia's Down Home Fried Chicken</t>
  </si>
  <si>
    <t>http://sylviasrestaurant.com/</t>
  </si>
  <si>
    <t>328 Malcolm X Blvd, New York, NY 10027</t>
  </si>
  <si>
    <t>$19 Brunch Vs. $113 Brunch</t>
  </si>
  <si>
    <t>$30.00 - All You Can Drink
All You Can Eat Stacks on Stacks</t>
  </si>
  <si>
    <t>https://goo.gl/maps/B1KPAVyD4Z1V4Atx5</t>
  </si>
  <si>
    <t>Caviar Souffle</t>
  </si>
  <si>
    <t>12565 W Washington Blvd, Los Angeles, CA 90066</t>
  </si>
  <si>
    <t>http://www.youtube.com/watch?v=yyv2gOHMGEc</t>
  </si>
  <si>
    <t>Peanut Butter Bacon Burger</t>
  </si>
  <si>
    <t>$18.75 - Trinity
Blanco
Pecos
Lil Queso
Iced Toddy L</t>
  </si>
  <si>
    <t>https://www.myhomestate.com/menu/</t>
  </si>
  <si>
    <t>4624 Hollywood Blvd, Los Angeles, CA 90027</t>
  </si>
  <si>
    <t>Penicillin</t>
  </si>
  <si>
    <t>$113.00 - Brunch Buffet
Free Flow Champagne</t>
  </si>
  <si>
    <t>https://www.peninsula.com/en/beverly-hills/hotel-fine-dining/belvedere-mediterranean</t>
  </si>
  <si>
    <t>9882 South Santa Monica Boulevard Ground Floor, Beverly Hills, CA 90212</t>
  </si>
  <si>
    <t>$3 Ramen Vs. $79 Ramen • Japan</t>
  </si>
  <si>
    <t>$79.00 - Ultimate Ramen &amp; Highest Grade Iberico Pork Shabu Shabu Course</t>
  </si>
  <si>
    <t>https://www.facebook.com/mengekijyougeneiroppongi/?ref=py_c&amp;utm_source=tripadvisor&amp;utm_medium=referral</t>
  </si>
  <si>
    <t>4 Chome-5-7 Roppongi, Minato City, Tokyo 106-0032, Japan</t>
  </si>
  <si>
    <t>http://www.youtube.com/watch?v=QtVL76gh09U</t>
  </si>
  <si>
    <t>Multiple courses</t>
  </si>
  <si>
    <t>$3.00 - Ramen</t>
  </si>
  <si>
    <t>http://rinrin.food46.com/</t>
  </si>
  <si>
    <t>Davey's Old Fashioned</t>
  </si>
  <si>
    <t>17-14 Senjunakaicho, Adachi City, Tokyo 120-0035, Japan</t>
  </si>
  <si>
    <t>$8.00 - Shobu Soba</t>
  </si>
  <si>
    <t>http://www.tsuta.com/</t>
  </si>
  <si>
    <t>Japan, 〒151-0066 Tokyo, Shibuya City, Nishihara, 3 Chome−2, ２−４−Ｂ１</t>
  </si>
  <si>
    <t>Scorpion Bowl</t>
  </si>
  <si>
    <t>$1 Coffee Vs. $914 Coffee • Japan</t>
  </si>
  <si>
    <t>$4.00 - C.E.S. Blend</t>
  </si>
  <si>
    <t>https://www.facebook.com/coffeeelementaryschool/</t>
  </si>
  <si>
    <t>12-6 Uguisudanicho, Shibuya City, Tokyo 150-0032, Japan</t>
  </si>
  <si>
    <t>http://www.youtube.com/watch?v=qIbbJV-grHg</t>
  </si>
  <si>
    <t>Peeky Toe Crab &amp; Lobster Omelette</t>
  </si>
  <si>
    <t>$1.00 - Bitter Sweet Blend Iced Coffee</t>
  </si>
  <si>
    <t>http://www.rostar.jp/</t>
  </si>
  <si>
    <t>Japan, 〒135-0061 Tokyo, Koto City, Toyosu, 3 Chome−2−20 豊洲フロント</t>
  </si>
  <si>
    <t>$914.00 - 22 Year Barrel-Aged Coffee</t>
  </si>
  <si>
    <t>https://www.yelp.com/biz/%E3%82%B6-%E3%83%9F%E3%83%A5%E3%83%B3%E3%83%92-%E7%8F%88%E7%90%B2%E3%81%A0%E3%81%91%E3%81%AE%E5%BA%97-%E5%85%AB%E5%B0%BE%E5%B8%82</t>
  </si>
  <si>
    <t>2 Chome-386 Osakabe, Yao, Osaka 581-0015, Japan</t>
  </si>
  <si>
    <t>$7 Cake Vs. $208 Cake • Japan</t>
  </si>
  <si>
    <t>$7.00 - Pablo Cheese Tart</t>
  </si>
  <si>
    <t>https://www.pablo3.com/shop/detail/?seq=32</t>
  </si>
  <si>
    <t>America-mura, 1 Chome Higashishinsaibashi, Chuo Ward, Osaka, 542-0086, Japan</t>
  </si>
  <si>
    <t>http://www.youtube.com/watch?v=uDzl5PG51uI</t>
  </si>
  <si>
    <t>Oolong Tea-Infused Egg</t>
  </si>
  <si>
    <t>Truggle Egg</t>
  </si>
  <si>
    <t>$208.00 - Extra Super Melon Shortcake</t>
  </si>
  <si>
    <t>https://www.newotani.co.jp/en/tokyo/restaurant/p-satsuki/</t>
  </si>
  <si>
    <t>4-1 Kioicho, Chiyoda City, Tokyo 102-0094, Japan</t>
  </si>
  <si>
    <t>$23.00 - San Joaquin Dos</t>
  </si>
  <si>
    <t>http://www.theobroma.co.jp/</t>
  </si>
  <si>
    <t>1 Chome-14-9 Tomigaya, Shibuya City, Tokyo 151-0063, Japan</t>
  </si>
  <si>
    <t>Beef Rib Finger Meat</t>
  </si>
  <si>
    <t>$1,977 Japanese Grapes</t>
  </si>
  <si>
    <t>One Stop</t>
  </si>
  <si>
    <t>$1,977.00 - Ruby Roman Grapes</t>
  </si>
  <si>
    <t>https://isetan.mistore.jp/store/shinjuku/foreign_customer/index.html</t>
  </si>
  <si>
    <t>3 Chome-14-1 Shinjuku, Shinjuku City, Tokyo 160-0022, Japan</t>
  </si>
  <si>
    <t>http://www.youtube.com/watch?v=FGAfZ-PTaNU</t>
  </si>
  <si>
    <t>Seoul</t>
  </si>
  <si>
    <t>Korea</t>
  </si>
  <si>
    <t>$210 7-Course Seafood Dinner</t>
  </si>
  <si>
    <t>$210.00 - Seasonal Tasting Menu</t>
  </si>
  <si>
    <t>https://providencela.com/</t>
  </si>
  <si>
    <t>5955 Melrose Ave, Los Angeles, CA 90038</t>
  </si>
  <si>
    <t>http://www.youtube.com/watch?v=fjSKDTLPmE8</t>
  </si>
  <si>
    <t>Soy Marinated Beef Ribs</t>
  </si>
  <si>
    <t>$10 Game Day Food Vs. $456 Game Day Food • Super Bowl 2018</t>
  </si>
  <si>
    <t>$456.00 - Chowgirls Super Bowl Feast</t>
  </si>
  <si>
    <t>http://chowgirls.net/</t>
  </si>
  <si>
    <t>Hanwoo 'Byeongpung' Beef Ribs</t>
  </si>
  <si>
    <t>336 Hoover St NE, Minneapolis, MN 55413</t>
  </si>
  <si>
    <t>http://www.youtube.com/watch?v=se9E-qvPJSg</t>
  </si>
  <si>
    <t>Truffle Lobster Mac &amp; Cheese</t>
  </si>
  <si>
    <t>$10.00 - Queso Fundido</t>
  </si>
  <si>
    <t>www.pajaritostp.com/</t>
  </si>
  <si>
    <t>605 W 7th St W, St Paul, MN 55102</t>
  </si>
  <si>
    <t>$29.00 - Whole Bird Tennessee Hot</t>
  </si>
  <si>
    <t>https://www.revivalfriedchicken.com/</t>
  </si>
  <si>
    <t>4257 Nicollet Ave, Minneapolis, MN 55409</t>
  </si>
  <si>
    <t>Shareable dish</t>
  </si>
  <si>
    <t>Belly</t>
  </si>
  <si>
    <t>$2 Bacon Vs. $100 Bacon</t>
  </si>
  <si>
    <t>$100.00 - Omakase</t>
  </si>
  <si>
    <t>Mac &amp; Cheese</t>
  </si>
  <si>
    <t>https://goo.gl/maps/sW5k1TwM84Bhdv2ZA</t>
  </si>
  <si>
    <t>355 W 14th St, New York, NY 10014</t>
  </si>
  <si>
    <t>http://www.youtube.com/watch?v=dT5ALH3ICTc</t>
  </si>
  <si>
    <t>Craw Mac Deluxe</t>
  </si>
  <si>
    <t>Pork Spare Ribs</t>
  </si>
  <si>
    <t>$6.00 - Bacon Flight</t>
  </si>
  <si>
    <t>http://www.cheekysps.com/new/cheekys-home.html</t>
  </si>
  <si>
    <t>622 N Palm Canyon Dr, Palm Springs, CA 92262</t>
  </si>
  <si>
    <t>5 slices of bacon</t>
  </si>
  <si>
    <t>$18.00 - BLT</t>
  </si>
  <si>
    <t>http://www.manuela-la.com/</t>
  </si>
  <si>
    <t>907 E 3rd St, Los Angeles, CA 90013</t>
  </si>
  <si>
    <t>Bar Bolonat (CLOSED)</t>
  </si>
  <si>
    <t>$1 Bagel vs. $1,000 Bagel</t>
  </si>
  <si>
    <t>$7.00 - Jerusalem Bagel</t>
  </si>
  <si>
    <t>317 W 12th St, New York, NY 10014</t>
  </si>
  <si>
    <t>Studio City</t>
  </si>
  <si>
    <t>http://www.youtube.com/watch?v=rdeQT7KkqM8</t>
  </si>
  <si>
    <t>1/2 lb Pork Spare Ribs</t>
  </si>
  <si>
    <t>Long Beach</t>
  </si>
  <si>
    <t>$1,000.00 - The $1000 Bagel</t>
  </si>
  <si>
    <t>https://www.marriott.com/hotels/hotel-information/restaurant/nycsw-the-westin-new-york-at-times-square/</t>
  </si>
  <si>
    <t>270 W 43rd St, New York, NY 10036</t>
  </si>
  <si>
    <t>Full Rack Pork Spare Ribs</t>
  </si>
  <si>
    <t>$1.00 - Regular Bagel</t>
  </si>
  <si>
    <t>https://www.utopiabagelsofnewyork.com/</t>
  </si>
  <si>
    <t>1909 Utopia Pkwy, Whitestone, NY 11357</t>
  </si>
  <si>
    <t>Culver City</t>
  </si>
  <si>
    <t>$10 Vegan vs. $135 Vegan</t>
  </si>
  <si>
    <t>$184.00 - 6 dishes:
Green Chickpea Hummus
Grilled Donko Shitake
Slow Roasted Beets
Whole Roasted Cauliflower
Market Carrots
Warm Crimini &amp; Chanterelle Mushrooms</t>
  </si>
  <si>
    <t>http://www.abchome.com/dine/abcv/</t>
  </si>
  <si>
    <t>38 E 19th St, New York, NY 10003</t>
  </si>
  <si>
    <t>http://www.youtube.com/watch?v=bc5BnTYRgx8</t>
  </si>
  <si>
    <t>Grilled WA Marren</t>
  </si>
  <si>
    <t>Individual dishes, not a degustation meun</t>
  </si>
  <si>
    <t>Sydney</t>
  </si>
  <si>
    <t>Australia</t>
  </si>
  <si>
    <t>$64.00 - 4 dishes:
Sunchoke Toast
Avocado
Hen of the Woods
Celery Root</t>
  </si>
  <si>
    <t>https://www.avantgardennyc.com/</t>
  </si>
  <si>
    <t>130 E 7th St, New York, NY 10009</t>
  </si>
  <si>
    <t>Coffin Bay Oyster
Sydney Rock Oyster</t>
  </si>
  <si>
    <t>$10.00 - Po'boy</t>
  </si>
  <si>
    <t>https://www.seasonedvegan.com/</t>
  </si>
  <si>
    <t>55 St Nicholas Ave, New York, NY 10026</t>
  </si>
  <si>
    <t>$9 Fish Vs. $140 Fish</t>
  </si>
  <si>
    <t>$15.00 - Bag of Bones
$9.00 - Lunatic/Haiwaiian Style</t>
  </si>
  <si>
    <t>https://www.ahiassassins.com/</t>
  </si>
  <si>
    <t>2570 S Beretania St, Honolulu, HI 96826</t>
  </si>
  <si>
    <t>http://www.youtube.com/watch?v=oipLbJoV9pM</t>
  </si>
  <si>
    <t>Braised Whole Green Lip Abalone</t>
  </si>
  <si>
    <t>Melbourne</t>
  </si>
  <si>
    <t>Museum Muscadelle
Museum Muscat</t>
  </si>
  <si>
    <t>$140.00 - Onaga Baked in Salt Crust</t>
  </si>
  <si>
    <t>https://www.chefmavro.com/</t>
  </si>
  <si>
    <t>1969 S King St, Honolulu, HI 96826</t>
  </si>
  <si>
    <t>$38.00 - Mochi-Crusted Onaga
$12.00 - Tropical Fruit Creamsicle Brulee</t>
  </si>
  <si>
    <t>http://mwrestaurant.com/</t>
  </si>
  <si>
    <t>1538 Kapiolani Blvd #107, Honolulu, HI 96814</t>
  </si>
  <si>
    <t>Wahgunyah</t>
  </si>
  <si>
    <t>$5 Pie Vs. $250 Pie</t>
  </si>
  <si>
    <t>$9.00 - Carrot Cake Fried Pie</t>
  </si>
  <si>
    <t>http://www.underbellyhospitality.com/</t>
  </si>
  <si>
    <t>1100 Westheimer Rd, Houston, TX 77006</t>
  </si>
  <si>
    <t>http://www.youtube.com/watch?v=tqPub3p3k5E</t>
  </si>
  <si>
    <t>Ladies Who Shoot Their Lunch 2016 Shiraz</t>
  </si>
  <si>
    <t>Avenel</t>
  </si>
  <si>
    <t>2016 Marsanne</t>
  </si>
  <si>
    <t>Nagambie</t>
  </si>
  <si>
    <t>$4.50 - Apple Pie</t>
  </si>
  <si>
    <t>http://pienburger.com/</t>
  </si>
  <si>
    <t>913 E California Blvd, Pasadena, CA 91106</t>
  </si>
  <si>
    <t>500g Grass Fed T-Bone</t>
  </si>
  <si>
    <t>$250.00 - Pumpecapple Piecake</t>
  </si>
  <si>
    <t>https://3brothersbakery.com/</t>
  </si>
  <si>
    <t>4036 S Braeswood Blvd, Houston, TX 77025</t>
  </si>
  <si>
    <t>For the entire cake</t>
  </si>
  <si>
    <t>$7 Pho Vs. $68 Pho</t>
  </si>
  <si>
    <t>$67.94 - The Original Whole Maine Lobster Pho</t>
  </si>
  <si>
    <t>http://www.districtonelv.com/</t>
  </si>
  <si>
    <t>3400 S Jones Blvd #8, Las Vegas, NV 89146</t>
  </si>
  <si>
    <t>http://www.youtube.com/watch?v=QpyHrQYeoIE</t>
  </si>
  <si>
    <t>Eye of Chuck Wagyu Ox</t>
  </si>
  <si>
    <t>$6.75 - Pho Bo</t>
  </si>
  <si>
    <t>http://www.phobinh.com/by-night</t>
  </si>
  <si>
    <t>12148 Bellaire Blvd #101, Houston, TX 77072</t>
  </si>
  <si>
    <t xml:space="preserve">300g Sirloin </t>
  </si>
  <si>
    <t>$20.00 - Mary's Free Range Duck Pho
$16.00 - Pho Bac
$16.00 - Vegan Pho</t>
  </si>
  <si>
    <t>https://thepigandthelady.com/</t>
  </si>
  <si>
    <t>83 N King St, Honolulu, HI 96817</t>
  </si>
  <si>
    <t>$12 Pork Vs. $715 Pork</t>
  </si>
  <si>
    <t>$11.25 - House-Made Pork Longganisa</t>
  </si>
  <si>
    <t>https://www.eatricebar.com/</t>
  </si>
  <si>
    <t>250g Rump Steak with Beans and Mash</t>
  </si>
  <si>
    <t>419 7th St, Los Angeles, CA 90014</t>
  </si>
  <si>
    <t>http://www.youtube.com/watch?v=IxD2NbXzgpQ</t>
  </si>
  <si>
    <t>$715.00 - Kamayan</t>
  </si>
  <si>
    <t>http://www.jeepneynyc.com/</t>
  </si>
  <si>
    <t>201 1st Avenue, New York, NY 10003</t>
  </si>
  <si>
    <t>Caviar &amp; Fried Chicken</t>
  </si>
  <si>
    <t>$55 per person</t>
  </si>
  <si>
    <t>$21.00 - Twice Cooked Pork Belly</t>
  </si>
  <si>
    <t>http://www.lasa-la.com/</t>
  </si>
  <si>
    <t>727 N Broadway #120, Los Angeles, CA 90012</t>
  </si>
  <si>
    <t>$8 Toast Vs. $20 Toast</t>
  </si>
  <si>
    <t>$10.00 - Chicken Liver
$16.00 - Stracciatella</t>
  </si>
  <si>
    <t>https://www.hereslookingatyoula.com/</t>
  </si>
  <si>
    <t>3901 W 6th St, Los Angeles, CA 90020</t>
  </si>
  <si>
    <t>http://www.youtube.com/watch?v=x3zQELlrY6A</t>
  </si>
  <si>
    <t>Hot Honey Yard Bird</t>
  </si>
  <si>
    <t>$20.00 - Mushroom Tartine</t>
  </si>
  <si>
    <t>https://www.petitcrenn.com/</t>
  </si>
  <si>
    <t>609 Hayes St, San Francisco, CA 94102</t>
  </si>
  <si>
    <t>$8.00 - Famed Ricotta Toast</t>
  </si>
  <si>
    <t>https://sqirlla.com/</t>
  </si>
  <si>
    <t>720 N Virgil Ave #4, Los Angeles, CA 90029</t>
  </si>
  <si>
    <t>Sylvia's Down Home Fried Chicken</t>
  </si>
  <si>
    <t>$15 Spaghetti Vs. $143 Spaghetti</t>
  </si>
  <si>
    <t>$15.00 - Extra Long Noodles Spaghetti
$18.00 - Porchetta</t>
  </si>
  <si>
    <t>https://barzotto.com/</t>
  </si>
  <si>
    <t>1270 Valencia St, San Francisco, CA 94110</t>
  </si>
  <si>
    <t>http://www.youtube.com/watch?v=3nPEkZv0-OU</t>
  </si>
  <si>
    <t>All You Can Drink
All You Can Eat Stacks on Stacks</t>
  </si>
  <si>
    <t>$18.00 - Beet Spaghetti</t>
  </si>
  <si>
    <t>http://www.centopastabar.com/</t>
  </si>
  <si>
    <t>119 E 6th St, Los Angeles, CA 90014</t>
  </si>
  <si>
    <t>$143.00 - Spaghetti Rustichella</t>
  </si>
  <si>
    <t>https://republiquela.com/</t>
  </si>
  <si>
    <t>624 South La Brea Ave, Los Angeles, CA 90036</t>
  </si>
  <si>
    <t>Without truffle dish is $38.00</t>
  </si>
  <si>
    <t>$3 Fries Vs. $100 Fries</t>
  </si>
  <si>
    <t>$8.00 - Kimchi Fries</t>
  </si>
  <si>
    <t>https://www.lov.com/</t>
  </si>
  <si>
    <t>1232 Rue de la Montagne, Montréal, QC H3G 1Z1, Canada</t>
  </si>
  <si>
    <t>http://www.youtube.com/watch?v=iN8zmmCRqUA</t>
  </si>
  <si>
    <t>Trinity
Blanco
Pecos
Lil Queso
Iced Toddy L</t>
  </si>
  <si>
    <t>Canadian Dollars</t>
  </si>
  <si>
    <t>$100.00 - La Crise Cardiaque (The Heart Attack)</t>
  </si>
  <si>
    <t>http://www.poutineville.com/en/home.html</t>
  </si>
  <si>
    <t>1348 Rue Beaubien E, Montréal, QC H2G 3A7, Canada</t>
  </si>
  <si>
    <t>Brunch Buffet
Free Flow Champagne</t>
  </si>
  <si>
    <t>$2.99 - Curly Fries</t>
  </si>
  <si>
    <t>https://eattopround.com/</t>
  </si>
  <si>
    <t>1000 South La Brea Ave, Los Angeles, CA 90019</t>
  </si>
  <si>
    <t>$10 Cheesesteak Vs. $120 Cheesesteak</t>
  </si>
  <si>
    <t>Ultimate Ramen &amp; Highest Grade Iberico Pork Shabu Shabu Course</t>
  </si>
  <si>
    <t>$120.00 - Barclay Prime Cheesesteak</t>
  </si>
  <si>
    <t>https://barclayprime.com/</t>
  </si>
  <si>
    <t>237 S 18th St, Philadelphia, PA 19103</t>
  </si>
  <si>
    <t>http://www.youtube.com/watch?v=VhI2EpAIcm4</t>
  </si>
  <si>
    <t>Tokyo</t>
  </si>
  <si>
    <t>Japan</t>
  </si>
  <si>
    <t>$14.00 - Local Mushroom Cheesesteak</t>
  </si>
  <si>
    <t>https://www.ginandpop.com/</t>
  </si>
  <si>
    <t>1839 Poplar St, Philadelphia, PA 19130</t>
  </si>
  <si>
    <t>Ramen</t>
  </si>
  <si>
    <t>$9.25 - Cheesteak (Onions, Provolone)</t>
  </si>
  <si>
    <t>http://www.johnsroastpork.com/</t>
  </si>
  <si>
    <t>14 Snyder Ave, Philadelphia, PA 19148</t>
  </si>
  <si>
    <t>$2 Peking Duck Vs. $340 Peking Duck</t>
  </si>
  <si>
    <t>Shobu Soba</t>
  </si>
  <si>
    <t>$1.25 - Peking Duck Bun</t>
  </si>
  <si>
    <t>http://www.corner28flushing.com/</t>
  </si>
  <si>
    <t>135-24 40th Rd, Queens, NY 11354</t>
  </si>
  <si>
    <t>http://www.youtube.com/watch?v=NLVQ2qTFFxA</t>
  </si>
  <si>
    <t>C.E.S. Blend</t>
  </si>
  <si>
    <t>$85.00 - Peking Duck</t>
  </si>
  <si>
    <t>https://www.decoynyc.com/</t>
  </si>
  <si>
    <t>downstairs, 529-1/2 Hudson St, New York, NY 10014</t>
  </si>
  <si>
    <t>12 pancakes, 3 sauces</t>
  </si>
  <si>
    <t>$340.00 - Beijing Duck 9 Course Tasting Menu</t>
  </si>
  <si>
    <t>http://www.hwayuannyc.com/</t>
  </si>
  <si>
    <t>42 E Broadway, New York, NY 10002</t>
  </si>
  <si>
    <t>$85 per person</t>
  </si>
  <si>
    <t>Bitter Sweet Blend Iced Coffee</t>
  </si>
  <si>
    <t>Side Trip</t>
  </si>
  <si>
    <t>$7.00 - Matcha Kakigori</t>
  </si>
  <si>
    <t>https://thelittleonenyc.business.site/</t>
  </si>
  <si>
    <t>150 E Broadway, New York, NY 10002</t>
  </si>
  <si>
    <t>$29 Vs. $180 Family-Style Meats</t>
  </si>
  <si>
    <t>$105.00 - Glazed Brisket</t>
  </si>
  <si>
    <t>http://freedmansla.com/</t>
  </si>
  <si>
    <t>2619 Sunset Blvd, Los Angeles, CA 90026</t>
  </si>
  <si>
    <t>http://www.youtube.com/watch?v=uFmQmqNAmfo</t>
  </si>
  <si>
    <t>22 Year Barrel-Aged Coffee</t>
  </si>
  <si>
    <t>Feeds 3-5</t>
  </si>
  <si>
    <t>Osaka</t>
  </si>
  <si>
    <t>$29.00 - Chinese BBQ Pork</t>
  </si>
  <si>
    <t>Pablo Cheese Tart</t>
  </si>
  <si>
    <t>https://www.littlefattyla.com/</t>
  </si>
  <si>
    <t>3809 Grand View Blvd, Los Angeles, CA 90066</t>
  </si>
  <si>
    <t>Feeds 4-7</t>
  </si>
  <si>
    <t>$2 Curry Vs. $75 Curry</t>
  </si>
  <si>
    <t>$2.25 - Curry Beef Puff</t>
  </si>
  <si>
    <t>http://fayda.com/</t>
  </si>
  <si>
    <t>83 Mott St, New York, NY 10013</t>
  </si>
  <si>
    <t>http://www.youtube.com/watch?v=-JmA5_gHrrM</t>
  </si>
  <si>
    <t>Extra Super Melon Shortcake</t>
  </si>
  <si>
    <t>San Joaquin Dos</t>
  </si>
  <si>
    <t>****</t>
  </si>
  <si>
    <t>Chowgirls Super Bowl Feast</t>
  </si>
  <si>
    <t>$75.00 - 3 courses: 
Butter Pepper Garlic Shrimp
Shahi Lamb Shank
The Drunken Shahi Tukra</t>
  </si>
  <si>
    <t>http://junoonnyc.com/</t>
  </si>
  <si>
    <t>27 W 24th St, New York, NY 10010</t>
  </si>
  <si>
    <t>$15.00 - Curry Laksa
$8.00 - Roti Canai</t>
  </si>
  <si>
    <t>http://lautnyc.com/</t>
  </si>
  <si>
    <t>15 E 17th St, New York, NY 10003</t>
  </si>
  <si>
    <t>Minneapolis</t>
  </si>
  <si>
    <t>Queso Fundido</t>
  </si>
  <si>
    <t>$1 Cookie Vs. $90 Cookie</t>
  </si>
  <si>
    <t>$4.00 - Chocolate Chip Walnut Cookie</t>
  </si>
  <si>
    <t>https://www.levainbakery.com/</t>
  </si>
  <si>
    <t>351 Amsterdam Ave, New York, NY 10024</t>
  </si>
  <si>
    <t>http://www.youtube.com/watch?v=_yHnu58tIUg</t>
  </si>
  <si>
    <t>St Paul</t>
  </si>
  <si>
    <t>Whole Bird Tennessee Hot</t>
  </si>
  <si>
    <t>$1.00 - Vanilla Shortbread</t>
  </si>
  <si>
    <t>https://mahzedahrbakery.com/#!/</t>
  </si>
  <si>
    <t>28 Greenwich Ave, New York, NY 10011</t>
  </si>
  <si>
    <t>$1 Sushi Vs. $133 Sushi • Japan</t>
  </si>
  <si>
    <t>$1.00 - Various Sushi Plates</t>
  </si>
  <si>
    <t>http://www.kura-corpo.co.jp/</t>
  </si>
  <si>
    <t>B1F Gビル, 01, 1 Chome-19-5 Minamiikebukuro, Toshima City, Tokyo 171-0022, Japan</t>
  </si>
  <si>
    <t>http://www.youtube.com/watch?v=qUm8TSGtenI</t>
  </si>
  <si>
    <t>Starts at $1 per plate</t>
  </si>
  <si>
    <t>$133.00 - Sushi Degustation</t>
  </si>
  <si>
    <t>http://www.kyubey.jp/en</t>
  </si>
  <si>
    <t>Bacon Flight</t>
  </si>
  <si>
    <t>8 Chome-7-6 Ginza, Chuo City, Tokyo 104-0061, Japan</t>
  </si>
  <si>
    <t>Palm Springs</t>
  </si>
  <si>
    <t>$44.00 - Sushi Platter</t>
  </si>
  <si>
    <t>http://www.sushi-shun.jp/</t>
  </si>
  <si>
    <t>Japan, 〒110-0005 Tokyo, Taito City, Ueno, 5 Chome−25−8 グランディールビル御徒町１Ｆ</t>
  </si>
  <si>
    <t>BLT</t>
  </si>
  <si>
    <t>$1 Eggs Vs. $89 Eggs • Japan</t>
  </si>
  <si>
    <t>$89.00 - Fresh Kagayaki eggs</t>
  </si>
  <si>
    <t>http://www.akuafarm.com/kagayaki/index.html</t>
  </si>
  <si>
    <t>687 Tochiya, Chichibu, Saitama 368-0002, Japan</t>
  </si>
  <si>
    <t>http://www.youtube.com/watch?v=9yh6-d_u-hA</t>
  </si>
  <si>
    <t>Jerusalem Bagel</t>
  </si>
  <si>
    <t>Box of 10 eggs</t>
  </si>
  <si>
    <t xml:space="preserve"> - Maccha Parfe and Tiramisu</t>
  </si>
  <si>
    <t>https://www.create-restaurants.co.jp/shop/index.php?controller=FrontCrShop&amp;action=shop_show&amp;id=1106</t>
  </si>
  <si>
    <t>Japan, 〒604-8026 Kyoto, Nakagyo Ward, 四条上ル米屋町382‐2</t>
  </si>
  <si>
    <t>The $1000 Bagel</t>
  </si>
  <si>
    <t>$1.00 - Tamagoyaki</t>
  </si>
  <si>
    <t>https://www.tsukiji-marutake.com/</t>
  </si>
  <si>
    <t>4 Chome-10-10 Tsukiji, Chuo City, Tokyo 104-0045, Japan</t>
  </si>
  <si>
    <t>Regular Bagel</t>
  </si>
  <si>
    <t>$24.00 - Omaurice
Ox Tongue Stew</t>
  </si>
  <si>
    <t>http://kichi2.net/</t>
  </si>
  <si>
    <t>185-4 Zaimokucho, Nakagyo Ward, Kyoto, 604-8017, Japan</t>
  </si>
  <si>
    <t>6 dishes:
Green Chickpea Hummus
Grilled Donko Shitake
Slow Roasted Beets
Whole Roasted Cauliflower
Market Carrots
Warm Crimini &amp; Chanterelle Mushrooms</t>
  </si>
  <si>
    <t>$6 Sandwich Vs. $180 Sandwich</t>
  </si>
  <si>
    <t>$5.75 - Breast Quarter Sandwich</t>
  </si>
  <si>
    <t>https://www.boltonsspicy.com/</t>
  </si>
  <si>
    <t>1135 Bell Rd, Antioch, TN 37013</t>
  </si>
  <si>
    <t>http://www.youtube.com/watch?v=FLqvTE1Eqfg</t>
  </si>
  <si>
    <t>Various spice levels available</t>
  </si>
  <si>
    <t>4 dishes:
Sunchoke Toast
Avocado
Hen of the Woods
Celery Root</t>
  </si>
  <si>
    <t>$11.50 - Oinkster Pastrami</t>
  </si>
  <si>
    <t>http://www.theoinkster.com/</t>
  </si>
  <si>
    <t>2005 Colorado Blvd, Eagle Rock, CA 90041</t>
  </si>
  <si>
    <t>Po'boy</t>
  </si>
  <si>
    <t>$180.00 - Kobe</t>
  </si>
  <si>
    <t>http://www.wagyumafia.com/restaurants/?utm_source=tripadvisor&amp;utm_medium=referral</t>
  </si>
  <si>
    <t>1 Chome-26-1-108 Kamimeguro, Meguro City, Tokyo 153-0051, Japan</t>
  </si>
  <si>
    <t>$710 Potluck Dinner • Holiday Special Part 1</t>
  </si>
  <si>
    <t>Holiday Special</t>
  </si>
  <si>
    <t>$9.25 - Pão De Queijo</t>
  </si>
  <si>
    <t>http://www.pampas-grill.com/</t>
  </si>
  <si>
    <t>269 E Palm Ave, Burbank, CA 91502</t>
  </si>
  <si>
    <t>http://www.youtube.com/watch?v=hz-RVFwgY1k</t>
  </si>
  <si>
    <t>Lunatic/Haiwaiian Style</t>
  </si>
  <si>
    <t>Per dozen</t>
  </si>
  <si>
    <t>$192 Desserts • Holiday Special Part 2</t>
  </si>
  <si>
    <t>$42.00 - Earl Grey Tea Pie
$40.50 - Mom's Apple Crumble Pie
$42.00 - Salted Caramel Pecan Pie
$42.00 - Salted Chocolate Pie</t>
  </si>
  <si>
    <t>https://www.thepieholela.com/</t>
  </si>
  <si>
    <t>714 Traction Ave, Los Angeles, CA 90013</t>
  </si>
  <si>
    <t>http://www.youtube.com/watch?v=XmqLrbidKGU</t>
  </si>
  <si>
    <t>Honolulu</t>
  </si>
  <si>
    <t>Price per bowl</t>
  </si>
  <si>
    <t>Bag of Bones</t>
  </si>
  <si>
    <t>Whole pie</t>
  </si>
  <si>
    <t>Onaga Baked in Salt Crust</t>
  </si>
  <si>
    <t>$347 Prime Rib • Holiday Special Part 3</t>
  </si>
  <si>
    <t>$13.25 - Half Pound Grassfed Burger
$347.19 - Prime Dry Aged Rib Roast 8.47lbs</t>
  </si>
  <si>
    <t>https://www.acabutchershop.com/</t>
  </si>
  <si>
    <t>2453 Santa Monica Blvd, Santa Monica, CA 90404</t>
  </si>
  <si>
    <t>http://www.youtube.com/watch?v=nXu2psXhZ_8</t>
  </si>
  <si>
    <t>Tropical Fruit Creamsicle Brulee</t>
  </si>
  <si>
    <t>Mochi-Crusted Onaga</t>
  </si>
  <si>
    <t>$10.99 - Tteokbokki (Spicy Rice Cake)</t>
  </si>
  <si>
    <t>https://www.yelp.com/biz/sinuiju-chapssal-soondae-los-angeles</t>
  </si>
  <si>
    <t>698 Vermont Ave, Los Angeles, CA 90005</t>
  </si>
  <si>
    <t>$1,593 Bento Box • Japan</t>
  </si>
  <si>
    <t>$1,593.00 - Nikko Buried Treasure Bento</t>
  </si>
  <si>
    <t>http://www.masuzushi.com</t>
  </si>
  <si>
    <t>Carrot Cake Fried Pie</t>
  </si>
  <si>
    <t>719-1 Imaichi, Nikko, Tochigi 321-1261, Japan</t>
  </si>
  <si>
    <t>http://www.youtube.com/watch?v=_GGsPCZUXrw</t>
  </si>
  <si>
    <t>Houston</t>
  </si>
  <si>
    <t>Apple Pie</t>
  </si>
  <si>
    <t>Pasadena</t>
  </si>
  <si>
    <t>MY AME</t>
  </si>
  <si>
    <t>Pumpecapple Piecake</t>
  </si>
  <si>
    <t>We Put Our Friend’s Face On 3,500 Pieces of Candy</t>
  </si>
  <si>
    <t>$840.00 - Custom Candy</t>
  </si>
  <si>
    <t>https://goo.gl/maps/2JzkkNCbdiVpTPPh8</t>
  </si>
  <si>
    <t>2 Chome-2-4 Minamihorikoshi, Nishi Ward, Nagoya, Aichi 451-0054, Japan</t>
  </si>
  <si>
    <t>http://www.youtube.com/watch?v=UZF5m70Pgyc</t>
  </si>
  <si>
    <t>The Original Whole Maine Lobster Pho</t>
  </si>
  <si>
    <t>Price is for minimum custom candy run</t>
  </si>
  <si>
    <t>Low Key Burritos</t>
  </si>
  <si>
    <t>Pho Bo</t>
  </si>
  <si>
    <t>Pho Bac</t>
  </si>
  <si>
    <t>$4 Burrito Vs. $32 Burrito</t>
  </si>
  <si>
    <t>$11.00 - Everything Breakfast Burrito</t>
  </si>
  <si>
    <t>https://goo.gl/maps/TDCtzzJ9px7T41eR8</t>
  </si>
  <si>
    <t>1158 Flower St, Los Angeles, CA 90015</t>
  </si>
  <si>
    <t>http://www.youtube.com/watch?v=5IQoYz9futg</t>
  </si>
  <si>
    <t>Vegan Pho</t>
  </si>
  <si>
    <t>Mary's Free Range Duck Pho</t>
  </si>
  <si>
    <t>House-Made Pork Longganisa</t>
  </si>
  <si>
    <t>wombo size</t>
  </si>
  <si>
    <t>Sonora Bakery</t>
  </si>
  <si>
    <t>Kamayan</t>
  </si>
  <si>
    <t xml:space="preserve"> - pan dulce, papaya, dulce de leche, cinammon roll</t>
  </si>
  <si>
    <t>https://goo.gl/maps/4UYdDvZ4THofjTC46</t>
  </si>
  <si>
    <t>4484 Whittier Blvd, Los Angeles, CA 90022</t>
  </si>
  <si>
    <t>Sonoratown</t>
  </si>
  <si>
    <t>Twice Cooked Pork Belly</t>
  </si>
  <si>
    <t>$3.50 - Bean and Cheese Burrito
$4.50 - Beef Chivichanga
$3.00 - small limón pepino agua fresca
$3.00 - small sandia agua fresca</t>
  </si>
  <si>
    <t>https://g.page/sonoratownla?share</t>
  </si>
  <si>
    <t>208 E 8th St, Los Angeles, CA 90014</t>
  </si>
  <si>
    <t>Chicken Liver</t>
  </si>
  <si>
    <t>Taqueria Yarelis</t>
  </si>
  <si>
    <t>Stracciatella</t>
  </si>
  <si>
    <t>$32.00 - Anaconda Burrito Supreme</t>
  </si>
  <si>
    <t>https://goo.gl/maps/JEaRUP7RuokEemReA</t>
  </si>
  <si>
    <t>429 N Fresno St, Fresno, CA 93701</t>
  </si>
  <si>
    <t>they stopped by the Forestiere Underground Gardens, Crazy Watermelon</t>
  </si>
  <si>
    <t>Tioga-Sequoia Brewing Company</t>
  </si>
  <si>
    <t>Mushroom Tartine</t>
  </si>
  <si>
    <t>San Francisco</t>
  </si>
  <si>
    <t xml:space="preserve"> - Summer Vibes Hoppy Pilsner, Half Dome California Wheat</t>
  </si>
  <si>
    <t>https://goo.gl/maps/iVKZMvozZxR4DCQG9</t>
  </si>
  <si>
    <t>745 Fulton St, Fresno, CA 93721</t>
  </si>
  <si>
    <t>Famed Ricotta Toast</t>
  </si>
  <si>
    <t>Coni'Seafood</t>
  </si>
  <si>
    <t>Extra Long Noodles Spaghetti</t>
  </si>
  <si>
    <t>$3.50 Fish Tacos vs. $30 Fish Tacos</t>
  </si>
  <si>
    <t>$30.00 - Pescado Zarandeado</t>
  </si>
  <si>
    <t>https://goo.gl/maps/Nkzw6AyRXGSWjxg59</t>
  </si>
  <si>
    <t>4532 S Centinela Ave, Los Angeles, CA 90066</t>
  </si>
  <si>
    <t>https://www.youtube.com/watch?v=Qlswv7eLykc&amp;t=16s</t>
  </si>
  <si>
    <t>Porchetta</t>
  </si>
  <si>
    <t>Beet Spaghetti</t>
  </si>
  <si>
    <t>Paloma</t>
  </si>
  <si>
    <t>Spaghetti Rustichella</t>
  </si>
  <si>
    <t>Holbox</t>
  </si>
  <si>
    <t>Kimchi Fries</t>
  </si>
  <si>
    <t>$28.00 - Spot Prawn &amp; Scallop Aguachile
$6.00 - Taco De Pulpo En Su Tinta
$6.00 - Wood Grilled Fish Taco</t>
  </si>
  <si>
    <t>https://goo.gl/maps/6Rw4UjJTn1tFi3Pj8</t>
  </si>
  <si>
    <t>3655 S Grand Ave c9, Los Angeles, CA 90007</t>
  </si>
  <si>
    <t>Ricky's Fish Tacos</t>
  </si>
  <si>
    <t>Montreal</t>
  </si>
  <si>
    <t>Canada</t>
  </si>
  <si>
    <t>La Crise Cardiaque (The Heart Attack)</t>
  </si>
  <si>
    <t>$3.50 - Fish Taco</t>
  </si>
  <si>
    <t>https://goo.gl/maps/k4wggZYoziWZ1NoW8</t>
  </si>
  <si>
    <t>3061 Riverside Dr, Los Angeles, CA 90027</t>
  </si>
  <si>
    <t>Lobster Taco</t>
  </si>
  <si>
    <r>
      <rPr>
        <rFont val="Arial"/>
        <color rgb="FF000000"/>
        <sz val="10.0"/>
        <u/>
      </rPr>
      <t xml:space="preserve">CLOSED </t>
    </r>
    <r>
      <rPr>
        <rFont val="Arial"/>
        <color rgb="FF1155CC"/>
        <sz val="10.0"/>
        <u/>
      </rPr>
      <t>Baroo</t>
    </r>
  </si>
  <si>
    <t>Curly Fries</t>
  </si>
  <si>
    <t>$13 Korean Soup Vs. $88 Korean Soup</t>
  </si>
  <si>
    <t xml:space="preserve"> - lemon verbana yuzu kombucha, tepache, everything mochi, and sonoko cookie</t>
  </si>
  <si>
    <t>https://goo.gl/maps/wWpYNwYQfPVgVLu58</t>
  </si>
  <si>
    <t>4632 Santa Monica Blvd, Los Angeles, CA 90029</t>
  </si>
  <si>
    <t>http://www.youtube.com/watch?v=YqFen-4pUvw</t>
  </si>
  <si>
    <t>Barclay Prime Cheesesteak</t>
  </si>
  <si>
    <t>Hanbat Shul-Lung-Tang</t>
  </si>
  <si>
    <t>Philadelphia</t>
  </si>
  <si>
    <t>Local Mushroom Cheesesteak</t>
  </si>
  <si>
    <t>$13.50 - Sul Lung Tang</t>
  </si>
  <si>
    <t>https://goo.gl/maps/HjWSNh9uMKUe85x6A</t>
  </si>
  <si>
    <t>4163 W 5th St, Los Angeles, CA 90020</t>
  </si>
  <si>
    <t>barley tea</t>
  </si>
  <si>
    <t>Majordōmo</t>
  </si>
  <si>
    <t>Cheesteak (Onions, Provolone)</t>
  </si>
  <si>
    <t>$88.00 - Whole Boiled Chicken</t>
  </si>
  <si>
    <t>https://goo.gl/maps/ut4kDwks1Bq1PwX46</t>
  </si>
  <si>
    <t>1725 Naud St, Los Angeles, CA 90012</t>
  </si>
  <si>
    <t>Peking Duck Bun</t>
  </si>
  <si>
    <t>CLOSED Tartine Bianco</t>
  </si>
  <si>
    <t>$11 Salad Vs. $95 Salad</t>
  </si>
  <si>
    <t>$18.00 - La Réserve d'O (wine)
$95.00 - Tagliata</t>
  </si>
  <si>
    <t>https://g.page/tartine-bianco?share</t>
  </si>
  <si>
    <t>757 S Alameda St Suite 160, Los Angeles, CA 90021</t>
  </si>
  <si>
    <t>http://www.youtube.com/watch?v=LBJVq56fptQ</t>
  </si>
  <si>
    <t>Peking Duck</t>
  </si>
  <si>
    <t xml:space="preserve"> 12 pancakes, 3 sauces</t>
  </si>
  <si>
    <t>Tartine bread, dandelion and celery salad</t>
  </si>
  <si>
    <t>Beijing Duck 9 Course Tasting Menu</t>
  </si>
  <si>
    <t>Luv2Eat Thai Bistro</t>
  </si>
  <si>
    <t>Side trip</t>
  </si>
  <si>
    <t>Matcha Kakigori</t>
  </si>
  <si>
    <t>$14.50 - Crying Tiger Beef
$13.00 - Jade Noodle with 3
$11.00 - Papaya Salad</t>
  </si>
  <si>
    <t>https://goo.gl/maps/3tP1LfqvZaJ9Lpk19</t>
  </si>
  <si>
    <t>6660 Sunset Blvd, Los Angeles, CA 90028</t>
  </si>
  <si>
    <t>Pizzaria Mozza</t>
  </si>
  <si>
    <t>APL Short Rib</t>
  </si>
  <si>
    <t>$19.00 - Nancy's Chopped Salad
$22.00 - Pizza alla Benno</t>
  </si>
  <si>
    <t>https://goo.gl/maps/K7huV4mRQE4riKAJ7</t>
  </si>
  <si>
    <t>Angelini Osteria</t>
  </si>
  <si>
    <t>1680 Vine St, Los Angeles, CA 90028</t>
  </si>
  <si>
    <t>Feeds ??</t>
  </si>
  <si>
    <t>$13 Lasagna Vs. $60 Lasagna</t>
  </si>
  <si>
    <t>Glazed Brisket</t>
  </si>
  <si>
    <t>$24.00 - Lasagna Verde</t>
  </si>
  <si>
    <t>https://g.page/angeliniosteria?share</t>
  </si>
  <si>
    <t>7313 Beverly Blvd, Los Angeles, CA 90036</t>
  </si>
  <si>
    <t>http://www.youtube.com/watch?v=PbQyevYlLAY</t>
  </si>
  <si>
    <t>Chinese BBQ Pork</t>
  </si>
  <si>
    <t>focaccia, bone marrow with gnochi</t>
  </si>
  <si>
    <t>CLOSED Hungry Pigeon</t>
  </si>
  <si>
    <t>Curry Beef Puff</t>
  </si>
  <si>
    <t>$60.00 - Lasagna</t>
  </si>
  <si>
    <t>https://goo.gl/maps/cjjYARdSPdpBTFow9</t>
  </si>
  <si>
    <t>743 S 4th St, Philadelphia, PA 19147</t>
  </si>
  <si>
    <t>ordered 24 hrs in advance, serves 6-4; Negroni, long hots</t>
  </si>
  <si>
    <t>Pasta Sisters</t>
  </si>
  <si>
    <t>3 courses: 
Butter Pepper Garlic Shrimp
Shahi Lamb Shank
The Drunken Shahi Tukra</t>
  </si>
  <si>
    <t>$13.25 - Meat Lasagna</t>
  </si>
  <si>
    <t>3280 Helms Ave, Culver City, CA 90232</t>
  </si>
  <si>
    <t>chocolate salami, tiramisu</t>
  </si>
  <si>
    <t>Roti Canai</t>
  </si>
  <si>
    <t>$10 Sushi &amp; Burger Vs. $58 Sushi &amp; Burger</t>
  </si>
  <si>
    <t>$35.00 - Masa Toro Roll
$23.00 - Masa's Burger</t>
  </si>
  <si>
    <t>http://www.tetsunyc.com/</t>
  </si>
  <si>
    <t>78 Leonard St, New York, NY 10013</t>
  </si>
  <si>
    <t>Curry Laksa</t>
  </si>
  <si>
    <t>http://www.youtube.com/watch?v=CgjOzZ0EE9Y</t>
  </si>
  <si>
    <t>Icing Cookie</t>
  </si>
  <si>
    <t>Online only</t>
  </si>
  <si>
    <t>$4.09 - Jr. Cheeseburger
$12.00 - Kampachi 3 Way
$8.49 - King's Special (Pastrami CB)
$5.50 - Salmon Nigiri</t>
  </si>
  <si>
    <t>https://www.kingsgotsushi.com/</t>
  </si>
  <si>
    <t>9345 Reseda Blvd, Northridge, CA 91324</t>
  </si>
  <si>
    <t>Din Tai Fung</t>
  </si>
  <si>
    <t>Chocolate Chip Walnut Cookie</t>
  </si>
  <si>
    <t>$0.50 Dumpling Vs. $29 Dumplings • Taiwan</t>
  </si>
  <si>
    <t>$29.00 - Truffle Xiao Long Bao
$7.00 - Xiao Long Bao (Pork Truffle)</t>
  </si>
  <si>
    <t>https://goo.gl/maps/TsXkckVxJ6ELfvp2A</t>
  </si>
  <si>
    <t>No. 194號, Section 2, Xinyi Road, Da’an District, Taipei City, Taiwan 106</t>
  </si>
  <si>
    <t>http://www.youtube.com/watch?v=w3XS900kg1U</t>
  </si>
  <si>
    <t>Vanilla Shortbread</t>
  </si>
  <si>
    <t>Various Sushi Plates</t>
  </si>
  <si>
    <t>Liu Jia Pan-Fried Bun</t>
  </si>
  <si>
    <t>$0.50 - Pan-Fried Dumpling (Pork, Chive, Cabbage)</t>
  </si>
  <si>
    <t>https://goo.gl/maps/BkN1xN1T9V5NzbtL6</t>
  </si>
  <si>
    <t>No. 189, Section 3, Tingzhou Road, Zhongzheng District, Taipei City, Taiwan 100</t>
  </si>
  <si>
    <t>Get the Soy Milk</t>
  </si>
  <si>
    <t>Sushi Degustation</t>
  </si>
  <si>
    <t>Raohe Night Market</t>
  </si>
  <si>
    <t xml:space="preserve"> - Stinky Tofu</t>
  </si>
  <si>
    <t>Sushi Platter</t>
  </si>
  <si>
    <t>https://goo.gl/maps/owXi3XT1B93UiEMG8</t>
  </si>
  <si>
    <t>Raohe Street, Songshan District, Taipei City, Taiwan 105</t>
  </si>
  <si>
    <t>Showa Ice</t>
  </si>
  <si>
    <t>Fresh Kagayaki eggs</t>
  </si>
  <si>
    <t xml:space="preserve"> - Shaved Ice (mango or chocolate)</t>
  </si>
  <si>
    <t>https://goo.gl/maps/cStwaRk4Zj4YvmaT9</t>
  </si>
  <si>
    <t>106, Taiwan, Taipei City, Da’an District, Wenchang Street, 47號1F</t>
  </si>
  <si>
    <t>Sunny Hills</t>
  </si>
  <si>
    <t>Chichibu</t>
  </si>
  <si>
    <t xml:space="preserve"> - Pineapple cake &amp; Oolong Tea</t>
  </si>
  <si>
    <t>https://goo.gl/maps/4kvLMWPShpVrWbBm8</t>
  </si>
  <si>
    <t>105, Taiwan, Taipei City, Songshan District, Alley 4, Lane 36, Section 5, Minsheng East Road, 1號1樓</t>
  </si>
  <si>
    <t>Zi Lin Steamed Dumplings</t>
  </si>
  <si>
    <t>Maccha Parfe and Tiramisu</t>
  </si>
  <si>
    <t>Kyoto</t>
  </si>
  <si>
    <t>$3.00 - Steamed Pork Dumplings</t>
  </si>
  <si>
    <t>https://goo.gl/maps/aVWCHhZP2W8nxKnN6</t>
  </si>
  <si>
    <t>106, Taiwan, Taipei City, Da’an District, Section 4, Zhongxiao East Road, 97號B1樓</t>
  </si>
  <si>
    <t>get the thousand year egg and tofu</t>
  </si>
  <si>
    <t>A Yu Beef Shabu Shabu</t>
  </si>
  <si>
    <t>Tamagoyaki</t>
  </si>
  <si>
    <t>$3.50 Soup Vs. $29 Soup • Taiwan</t>
  </si>
  <si>
    <t>$13.00 - Base Broth with Freshly Hand Cut Prime Beef</t>
  </si>
  <si>
    <t>https://goo.gl/maps/nrpxHWaArpVnRXJ29</t>
  </si>
  <si>
    <t>No. 525, Section 1, Zhongzheng Road, Rende District, Tainan City, Taiwan 717</t>
  </si>
  <si>
    <t>http://www.youtube.com/watch?v=xscOXwsaGLQ</t>
  </si>
  <si>
    <t>Omaurice</t>
  </si>
  <si>
    <t>*****</t>
  </si>
  <si>
    <t>Ox Tongue Stew</t>
  </si>
  <si>
    <t>Cold brewed oolong</t>
  </si>
  <si>
    <t>Cha for Tea</t>
  </si>
  <si>
    <t>Breast Quarter Sandwich</t>
  </si>
  <si>
    <t xml:space="preserve"> - Oolong tea and Black tea boba</t>
  </si>
  <si>
    <t>https://goo.gl/maps/jRfUDDUvass5LY8j7</t>
  </si>
  <si>
    <t>407, Taiwan, Taichung City, Xitun District, Section 3, Henan Road, 120號B1樓</t>
  </si>
  <si>
    <t>Steven say's "let's go to Ren Ten", but the footage is shot at this Cha for Tea (both are chains)</t>
  </si>
  <si>
    <t>gubami</t>
  </si>
  <si>
    <t>Nashville</t>
  </si>
  <si>
    <t>$29.00 - Clear Broth Beef Noodle Soup</t>
  </si>
  <si>
    <t>https://goo.gl/maps/Tu4uNZikCg1VcuN26</t>
  </si>
  <si>
    <t>No. 46號, Cunzhong Street, West District, Taichung City, Taiwan 403</t>
  </si>
  <si>
    <t>Oinkster Pastrami</t>
  </si>
  <si>
    <t>tofu skin cooked in beef stock, radish with lemon and olive oil, zuchini confit in goose fat, green bean and beef mushroom deliciousness</t>
  </si>
  <si>
    <t>Smart Fish</t>
  </si>
  <si>
    <t>Kobe</t>
  </si>
  <si>
    <t>$3.50 - Cabbage Tofu Soup with Fish Meat</t>
  </si>
  <si>
    <t>https://goo.gl/maps/X4xrdUfQAbMeu4bc9</t>
  </si>
  <si>
    <t>No. 361號, Zhongzheng Road, East District, Chiayi City, Taiwan 600</t>
  </si>
  <si>
    <t>fish beer, turkey rice and fish head soup</t>
  </si>
  <si>
    <t>deepfry2018</t>
  </si>
  <si>
    <t>Everything Breakfast Burrito</t>
  </si>
  <si>
    <t>$3 Chicken Vs. $62 Chicken • Taiwan</t>
  </si>
  <si>
    <t>$21.00 - Borgo Sanleo Prive Extra Dry Sparkling Wine
$1.00 - Deep Fried Radish Cake
$3.00 - Fried Braised Pork Knuckles
$1.80 - Lotus Root Taiwanese Fried Chicken</t>
  </si>
  <si>
    <t>https://goo.gl/maps/cjn5JPkdPuv3Ue1FA</t>
  </si>
  <si>
    <t>No. 57號, Lane 308, Guangfu South Road, Da’an District, Taipei City, Taiwan 106</t>
  </si>
  <si>
    <t>http://www.youtube.com/watch?v=JCHttVEG_Lk</t>
  </si>
  <si>
    <t>n/a</t>
  </si>
  <si>
    <t>pan dulce, papaya, dulce de leche, cinammon roll</t>
  </si>
  <si>
    <t>Regent Taipei</t>
  </si>
  <si>
    <t xml:space="preserve"> - Boba croissant and cake</t>
  </si>
  <si>
    <t>https://goo.gl/maps/bJbVLTKwvZfbnRim7</t>
  </si>
  <si>
    <t>small sandia agua fresca</t>
  </si>
  <si>
    <t>No. 3號, Lane 39, Section 2, Zhongshan North Road, Zhongshan District, Taipei City, Taiwan 104</t>
  </si>
  <si>
    <t>croissant might be limited time thing</t>
  </si>
  <si>
    <t>Walking Su</t>
  </si>
  <si>
    <t>small limón pepino agua fresca</t>
  </si>
  <si>
    <t>$3.30 - Sesame Oil Chicken</t>
  </si>
  <si>
    <t>https://goo.gl/maps/GFojCTN2rn7mYzUbA</t>
  </si>
  <si>
    <t>No. 260號, Dongping Road, East District, Tainan City, Taiwan 701</t>
  </si>
  <si>
    <t>Yan Xiang Lou</t>
  </si>
  <si>
    <t>Bean and Cheese Burrito</t>
  </si>
  <si>
    <t>$62.00 - Beggars Chicken</t>
  </si>
  <si>
    <t>https://g.page/yanxianglou?share</t>
  </si>
  <si>
    <t>No. 2號, Lane 12, Jingchengba Street, West District, Taichung City, Taiwan 403</t>
  </si>
  <si>
    <t>winter melon, fish</t>
  </si>
  <si>
    <t>Yilan Scallion Field</t>
  </si>
  <si>
    <t xml:space="preserve"> </t>
  </si>
  <si>
    <t>Beef Chivichanga</t>
  </si>
  <si>
    <t>special salsa</t>
  </si>
  <si>
    <t xml:space="preserve"> - Scallion Pancakes</t>
  </si>
  <si>
    <t>https://goo.gl/maps/9MEZcnnk5A3gAMsB9</t>
  </si>
  <si>
    <t>Sanxing Township, Yilan County, Taiwan 266</t>
  </si>
  <si>
    <t>side quest, pick your own green onions and cook them</t>
  </si>
  <si>
    <t>Burgerlords</t>
  </si>
  <si>
    <t>Anaconda Burrito Supreme</t>
  </si>
  <si>
    <t>$7 Double Cheeseburger Vs. $25 Double Cheeseburger</t>
  </si>
  <si>
    <t>Fresno</t>
  </si>
  <si>
    <t>$10.95 - The Veggie Cheeseburger</t>
  </si>
  <si>
    <t>https://goo.gl/maps/u8cbZ9L74KNkAZMJ6</t>
  </si>
  <si>
    <t>110 N Ave 56, Los Angeles, CA 90042</t>
  </si>
  <si>
    <t>http://www.youtube.com/watch?v=Yql-9LHorTo</t>
  </si>
  <si>
    <t>Summer Vibes Hoppy Pilsner, Half Dome California Wheat</t>
  </si>
  <si>
    <t>tofu nuggets with Lord of the Fries style fries</t>
  </si>
  <si>
    <t>Burgers Never Say Die</t>
  </si>
  <si>
    <t>Pescado Zarandeado</t>
  </si>
  <si>
    <t>$7.35 - The Regular</t>
  </si>
  <si>
    <t>https://goo.gl/maps/JyLUN9pQaE4ndLxSA</t>
  </si>
  <si>
    <t>2388 Glendale Blvd Unit A, Los Angeles, CA 90039</t>
  </si>
  <si>
    <t>soft serve ice cream with soda for a float</t>
  </si>
  <si>
    <t>Petit Trois</t>
  </si>
  <si>
    <t>$25.00 - Big Mec Double Cheeseburger</t>
  </si>
  <si>
    <t>https://goo.gl/maps/YkywNYfYTxec8aWd7</t>
  </si>
  <si>
    <t>13705 Ventura Blvd, Sherman Oaks, CA 91423</t>
  </si>
  <si>
    <t/>
  </si>
  <si>
    <t>Tesse</t>
  </si>
  <si>
    <t>Wood Grilled Fish Taco</t>
  </si>
  <si>
    <t xml:space="preserve"> - Dessert Burger (special)</t>
  </si>
  <si>
    <t>https://g.page/tesserestaurant?share</t>
  </si>
  <si>
    <t>8500 Sunset Blvd Suite B, West Hollywood, CA 90069</t>
  </si>
  <si>
    <t>Taco De Pulpo En Su Tinta</t>
  </si>
  <si>
    <t>made for National Burger Day, probably not regularly available</t>
  </si>
  <si>
    <t>Bistro Na</t>
  </si>
  <si>
    <t>Spot Prawn &amp; Scallop Aguachile</t>
  </si>
  <si>
    <t>$10 Noodles Vs. $94 Noodles</t>
  </si>
  <si>
    <t xml:space="preserve"> - Donkey roll, sesame roll, desserts</t>
  </si>
  <si>
    <t>https://goo.gl/maps/jqz2MKeW7aPBCuLt5</t>
  </si>
  <si>
    <t>9055 E Las Tunas Dr #105, Temple City, CA 91780</t>
  </si>
  <si>
    <t>http://www.youtube.com/watch?v=FkIQMZaBTBo</t>
  </si>
  <si>
    <t>Fish Taco</t>
  </si>
  <si>
    <t>Chosun Galbee</t>
  </si>
  <si>
    <t>Crustacean</t>
  </si>
  <si>
    <t>$16.00 - Garlic Noodles
$78.00 - Garlic Roasted Dungeness Crab</t>
  </si>
  <si>
    <t>https://g.page/CrustaceanBH?share</t>
  </si>
  <si>
    <t>468 N Bedford Dr, Beverly Hills, CA 90210</t>
  </si>
  <si>
    <t>caviar roll thingys</t>
  </si>
  <si>
    <t>Dolan's Uyghur Cuisine</t>
  </si>
  <si>
    <t>Episode starts here, featured in S1E8</t>
  </si>
  <si>
    <r>
      <rPr>
        <rFont val="Arial"/>
        <color rgb="FF000000"/>
        <sz val="10.0"/>
        <u/>
      </rPr>
      <t xml:space="preserve">CLOSED </t>
    </r>
    <r>
      <rPr>
        <rFont val="Arial"/>
        <color rgb="FF1155CC"/>
        <sz val="10.0"/>
        <u/>
      </rPr>
      <t>Baroo</t>
    </r>
  </si>
  <si>
    <t>$29.95 - Big Plate Chicken</t>
  </si>
  <si>
    <t>https://g.page/ladolans?share</t>
  </si>
  <si>
    <t>742 W Valley Blvd, Alhambra, CA 91803</t>
  </si>
  <si>
    <t>flower tea</t>
  </si>
  <si>
    <t>Lao Xi'er Noodle House</t>
  </si>
  <si>
    <t>lemon verbana yuzu kombucha, tepache, everything mochi, and sonoko cookie</t>
  </si>
  <si>
    <t>$10.25 - Wife's Special Noodle</t>
  </si>
  <si>
    <t>https://g.page/laoxiernoodle?share</t>
  </si>
  <si>
    <t>600 Live Oak Ave, Arcadia, CA 91006</t>
  </si>
  <si>
    <t>lamb dumpling</t>
  </si>
  <si>
    <t>Fuku</t>
  </si>
  <si>
    <t>Sul Lung Tang</t>
  </si>
  <si>
    <t>$5 Fried Chicken Sandwich Vs. $20 Fried Chicken Sandwich</t>
  </si>
  <si>
    <t xml:space="preserve"> - Cold Hot Chicken</t>
  </si>
  <si>
    <t>https://goo.gl/maps/RFdjx4JZzpi6sgWQ7</t>
  </si>
  <si>
    <t>1315 3rd Street Promenade, Santa Monica, CA 90401</t>
  </si>
  <si>
    <t>http://www.youtube.com/watch?v=xj-6hC5GFfI</t>
  </si>
  <si>
    <t>Whole Boiled Chicken</t>
  </si>
  <si>
    <t>Pikunico</t>
  </si>
  <si>
    <t>Spoon by H</t>
  </si>
  <si>
    <t>$12.00 - Chicken Sandwich</t>
  </si>
  <si>
    <t>https://g.page/Pikinico?share</t>
  </si>
  <si>
    <t>767 S Alameda St Suite 122, Los Angeles, CA 90021</t>
  </si>
  <si>
    <t>seaweed and cucumber salad</t>
  </si>
  <si>
    <t>Pork Belly Dumpling Soup</t>
  </si>
  <si>
    <t>Son of a Gun</t>
  </si>
  <si>
    <t>7158 Beverly Blvd, Los Angeles, CA 90036</t>
  </si>
  <si>
    <t>grape lychee, waffle banana split</t>
  </si>
  <si>
    <t>$19.75 - Fried Chicken Sandwich</t>
  </si>
  <si>
    <t>https://goo.gl/maps/jEiNdWwry2n112ps9</t>
  </si>
  <si>
    <t>8370 W 3rd St, Los Angeles, CA 90048</t>
  </si>
  <si>
    <t>oysters, Scorpion Bowl drink, tuna avocado ball</t>
  </si>
  <si>
    <t>The Win~Dow at American Beauty</t>
  </si>
  <si>
    <t>La Réserve d'O (wine)</t>
  </si>
  <si>
    <t>$5.50 - Chicken Sandwich</t>
  </si>
  <si>
    <t>https://g.page/americanbeautyla?share</t>
  </si>
  <si>
    <t>425 Rose Ave, Venice, CA 90291</t>
  </si>
  <si>
    <t>Kogi Truck</t>
  </si>
  <si>
    <t>Tagliata</t>
  </si>
  <si>
    <t>$3 Takeout Vs. $129 Takeout</t>
  </si>
  <si>
    <t>Worth It: Social Distancing Edition</t>
  </si>
  <si>
    <t>$3.00 - Short Rib Taco</t>
  </si>
  <si>
    <t>https://goo.gl/maps/2NrYpe1ZBiFfgNFV8</t>
  </si>
  <si>
    <t>One California Plaza, 300 S Grand Ave, Los Angeles, CA 90071</t>
  </si>
  <si>
    <t>http://www.youtube.com/watch?v=SzOhHutFVKs</t>
  </si>
  <si>
    <t>Papaya Salad</t>
  </si>
  <si>
    <t>kimchi quesadilla</t>
  </si>
  <si>
    <t>pink milk</t>
  </si>
  <si>
    <t>All Day Baby</t>
  </si>
  <si>
    <t>Jade Noodle with 3</t>
  </si>
  <si>
    <t>$4 Pancake vs. $88 Pancake</t>
  </si>
  <si>
    <t>$15.00 - Hotcake</t>
  </si>
  <si>
    <t>Crying Tiger Beef</t>
  </si>
  <si>
    <t>https://goo.gl/maps/Ds5fPJzSARsYECL37</t>
  </si>
  <si>
    <t>3200 Sunset Blvd, Los Angeles, CA 90026</t>
  </si>
  <si>
    <t>https://www.youtube.com/watch?v=YuCqyvBlcK8</t>
  </si>
  <si>
    <t>Ambrosia Salad</t>
  </si>
  <si>
    <t>homemade</t>
  </si>
  <si>
    <t>Sweet Tea Cocktail, beef and cheese sandwich</t>
  </si>
  <si>
    <t>Angler</t>
  </si>
  <si>
    <t>Nancy's Chopped Salad</t>
  </si>
  <si>
    <t>Pizza alla Benno</t>
  </si>
  <si>
    <t>$88.00 - Caviar</t>
  </si>
  <si>
    <t>https://goo.gl/maps/Tj8dsqCGK4nMBpNCA</t>
  </si>
  <si>
    <t>8500 Beverly Blvd Suite 117, Los Angeles, CA 90048</t>
  </si>
  <si>
    <t>Breakfast by Salt's Cure</t>
  </si>
  <si>
    <t>Lasagna Verde</t>
  </si>
  <si>
    <t>$4.00 - OG Single Cake</t>
  </si>
  <si>
    <t>https://g.page/BreakfastBySaltsCure?share</t>
  </si>
  <si>
    <t>7494 Santa Monica Blvd, West Hollywood, CA 90046</t>
  </si>
  <si>
    <t>orange juice</t>
  </si>
  <si>
    <t>Azuma</t>
  </si>
  <si>
    <t>$4 Rice Vs. $52 Rice</t>
  </si>
  <si>
    <t>$4.00 - Onigiri
$4.50 - Yaki Onigiri</t>
  </si>
  <si>
    <t>https://goo.gl/maps/Lo2FpYRrxyw2VcyV6</t>
  </si>
  <si>
    <t>16123 S Western Ave, Gardena, CA 90247</t>
  </si>
  <si>
    <t>https://www.youtube.com/watch?v=fYVouIyOXC0</t>
  </si>
  <si>
    <t xml:space="preserve">Lasagna </t>
  </si>
  <si>
    <t>CLOSED auburn</t>
  </si>
  <si>
    <t>Meat Lasagna</t>
  </si>
  <si>
    <t>$6.00 - Crispy Pig Ears
$9.00 - Sea Bream Collar
$52.00 - White Chocolate Risotto</t>
  </si>
  <si>
    <t>https://goo.gl/maps/hTr226ByvtFRZDLp6</t>
  </si>
  <si>
    <t>6703 Melrose Ave, Los Angeles, CA 90038</t>
  </si>
  <si>
    <t>Lukshon</t>
  </si>
  <si>
    <t>Masa's Burger</t>
  </si>
  <si>
    <t>$38.00 - Beef and Brocoli
$15.00 - Heirloom Black Rice
$14.00 - Tea Leaf Salad</t>
  </si>
  <si>
    <t>https://goo.gl/maps/KChT3JBNxbQNsNh99</t>
  </si>
  <si>
    <t>3239 Helms Ave, Culver City, CA 90232</t>
  </si>
  <si>
    <t>Cali Sandwich</t>
  </si>
  <si>
    <t>$4 Breakfast Sandwich Vs. $30 Breakfast Sandwich</t>
  </si>
  <si>
    <t>$3.69 - Grilled BBQ Pork Banh Mi</t>
  </si>
  <si>
    <t>https://goo.gl/maps/mRDg1F8cdA3Hx6pT8</t>
  </si>
  <si>
    <t>2900 Travis St, Houston, TX 77006</t>
  </si>
  <si>
    <t>https://www.youtube.com/watch?v=ACKYhlBi98Q</t>
  </si>
  <si>
    <t>Masa Toro Roll</t>
  </si>
  <si>
    <t>Thai Iced Tea, combo banh mi</t>
  </si>
  <si>
    <t>Fearing's Restaurant</t>
  </si>
  <si>
    <t>Jr. Cheeseburger</t>
  </si>
  <si>
    <t>$22.00 - Dean's Signature Margarita
$30.00 - Jumbo Gulf Lump Crab Cake Benedict
$56.00 - Maple/Black Peppercorn Soaked Buffalo Tenderloin</t>
  </si>
  <si>
    <t>https://goo.gl/maps/KQrKbiYkUvanXceQ6</t>
  </si>
  <si>
    <t>2121 McKinney Ave, Dallas, TX 75201</t>
  </si>
  <si>
    <t>Salmon Nigiri</t>
  </si>
  <si>
    <t>Squable</t>
  </si>
  <si>
    <t>King's Special (Pastrami CB)</t>
  </si>
  <si>
    <t>$12.00 - "Simple" Green Salad
$24.00 - Bucatini
$14.00 - Donut Sandwich</t>
  </si>
  <si>
    <t>https://goo.gl/maps/w2oiiHV5R18jUEEN8</t>
  </si>
  <si>
    <t>632 W 19th St, Houston, TX 77008</t>
  </si>
  <si>
    <t>Duly's Place Coney Island</t>
  </si>
  <si>
    <t>Kampachi 3 Way</t>
  </si>
  <si>
    <t>$5 Carrot Vs. $20 Carrot</t>
  </si>
  <si>
    <t>$2.00 - Coney Dog</t>
  </si>
  <si>
    <t>https://goo.gl/maps/WX7Dmrui2cQ7fJL16</t>
  </si>
  <si>
    <t>5458 W Vernor Hwy, Detroit, MI 48209</t>
  </si>
  <si>
    <t>https://www.youtube.com/watch?v=f8BLlSvqrVc</t>
  </si>
  <si>
    <t>Ode To MOS Burger</t>
  </si>
  <si>
    <t>1360 Allison Ave, Los Angeles, CA 90026</t>
  </si>
  <si>
    <t>Hirame Crudo</t>
  </si>
  <si>
    <t>Good Cakes and Bakes</t>
  </si>
  <si>
    <t>Xiao Long Bao (Pork Truffle)</t>
  </si>
  <si>
    <t>$5.00 - Carrot Cake</t>
  </si>
  <si>
    <t>https://g.page/Goodcakesandbakes?share</t>
  </si>
  <si>
    <t>19363 Livernois, Detroit, MI 48221</t>
  </si>
  <si>
    <t>Taipei City</t>
  </si>
  <si>
    <t>Taiwan</t>
  </si>
  <si>
    <t>Truffle Xiao Long Bao</t>
  </si>
  <si>
    <t>Lady of the House</t>
  </si>
  <si>
    <t>Pan-Fried Dumpling (Pork, Chive, Cabbage)</t>
  </si>
  <si>
    <t>$20.00 - Carrot Steak</t>
  </si>
  <si>
    <t>https://goo.gl/maps/tN94eydGna8hXhUj7</t>
  </si>
  <si>
    <t>1426 Bagley St, Detroit, MI 48216</t>
  </si>
  <si>
    <t>Shrimpt butter, the Lady Ham Trio, the half sour cabbage</t>
  </si>
  <si>
    <t>Nash Pit</t>
  </si>
  <si>
    <t>Stinky Tofu</t>
  </si>
  <si>
    <t>$10.00 - Lady Fantastic Coney Carrot Dog</t>
  </si>
  <si>
    <t>https://g.page/NoshPitDetroit?share</t>
  </si>
  <si>
    <t>2995 Yemans St, Hamtramck, MI 48212</t>
  </si>
  <si>
    <t>mac uncheese</t>
  </si>
  <si>
    <t>All Flavor No Grease</t>
  </si>
  <si>
    <t>Shaved Ice (mango or chocolate)</t>
  </si>
  <si>
    <t>$4 Quesadilla Vs. $20 Quesadilla</t>
  </si>
  <si>
    <t>$20.00 - the Triple Threat</t>
  </si>
  <si>
    <t>https://goo.gl/maps/twX4WVuSB6rLXoBm7</t>
  </si>
  <si>
    <t>728 E 108th St, Los Angeles, CA 90059</t>
  </si>
  <si>
    <t>https://www.youtube.com/watch?v=iRyXDCckvuc</t>
  </si>
  <si>
    <t>Pineapple cake &amp; Oolong Tea</t>
  </si>
  <si>
    <t>Kogi Taqueria</t>
  </si>
  <si>
    <t>$7.00 - Kimchi Quesadilla</t>
  </si>
  <si>
    <t>https://goo.gl/maps/7Tb4APMPiZhgLHCs9</t>
  </si>
  <si>
    <t>3434 Overland Ave, Los Angeles, CA 90034</t>
  </si>
  <si>
    <t>Tacos 1986</t>
  </si>
  <si>
    <t>Steamed Pork Dumplings</t>
  </si>
  <si>
    <t>$4.25 - Quesadilla Adobada</t>
  </si>
  <si>
    <t>https://goo.gl/maps/Q2bid3b8xanaM1KW8</t>
  </si>
  <si>
    <t>609 S Spring St, Los Angeles, CA 90014</t>
  </si>
  <si>
    <t>white flour quesadilla</t>
  </si>
  <si>
    <t>Geogia James</t>
  </si>
  <si>
    <t>$128 Hot Pot Vs. $798 Meat Board</t>
  </si>
  <si>
    <t xml:space="preserve">get the thousand year egg and tofu </t>
  </si>
  <si>
    <t>$798.00 - Baller Board</t>
  </si>
  <si>
    <t>https://goo.gl/maps/febrD64p1piZ5hXn8</t>
  </si>
  <si>
    <t>https://www.youtube.com/watch?v=kfe9hmwjOVQ</t>
  </si>
  <si>
    <t>Base Broth with Freshly Hand Cut Prime Beef</t>
  </si>
  <si>
    <t>Shabu Shabu Mayumon</t>
  </si>
  <si>
    <t>Tainan City</t>
  </si>
  <si>
    <t>$128.00 - Shabu Shabu Omakase Menu</t>
  </si>
  <si>
    <t>https://goo.gl/maps/91Umqge2zPR5pKhd7</t>
  </si>
  <si>
    <t>115 Division St, New York, NY 10002</t>
  </si>
  <si>
    <t>Perilla LA</t>
  </si>
  <si>
    <t>Oolong tea and Black tea boba</t>
  </si>
  <si>
    <t>Taichung City</t>
  </si>
  <si>
    <t>Garden Night Market</t>
  </si>
  <si>
    <t>$7 Picnic Vs. $323 Picnic</t>
  </si>
  <si>
    <t>Peanut roll with ice cream and cilantro</t>
  </si>
  <si>
    <t>$5.00 - Eggplant Namul
$5.50 - Gim Bugak (Nori Chip)
$5.00 - Marintated Okra</t>
  </si>
  <si>
    <t>https://www.perillala.com/</t>
  </si>
  <si>
    <t>661 S Harvard Blvd, Los Angeles, CA 90005</t>
  </si>
  <si>
    <t>https://www.youtube.com/watch?v=r3Ti02CIFas</t>
  </si>
  <si>
    <t>No. 533號, Section 3, Hai'an Road, North District, Tainan City, Taiwan 704</t>
  </si>
  <si>
    <t>Clear Broth Beef Noodle Soup</t>
  </si>
  <si>
    <t>Picnic Society</t>
  </si>
  <si>
    <t>$18.00 - Domaine Zafeirakis Limniona Rose
$120.00 - The Gwen Basket</t>
  </si>
  <si>
    <t>https://goo.gl/maps/49FS6qbutvjMDgsw6</t>
  </si>
  <si>
    <t>189 The Grove Dr, Los Angeles, CA 90036</t>
  </si>
  <si>
    <t>Zhengyalov Hatz</t>
  </si>
  <si>
    <t>Cabbage Tofu Soup with Fish Meat</t>
  </si>
  <si>
    <t>$6.99 - Zhengyalov Hatz</t>
  </si>
  <si>
    <t>https://goo.gl/maps/2fJKff2wVpbxYkEY8</t>
  </si>
  <si>
    <t>318 E Broadway, Glendale, CA 91205</t>
  </si>
  <si>
    <t>Chiayi City</t>
  </si>
  <si>
    <t>yogurt drink, desert with walnuts and honey</t>
  </si>
  <si>
    <t>Chi Spacca</t>
  </si>
  <si>
    <t>$1 Savory Pie Vs. $55 Savory Pie</t>
  </si>
  <si>
    <t>Deep Fried Radish Cake</t>
  </si>
  <si>
    <t>$55.00 - Beef and Bone Marrow Pie</t>
  </si>
  <si>
    <t>https://goo.gl/maps/h6nCPzSgaiQUQJft7</t>
  </si>
  <si>
    <t>6610 Melrose Ave, Los Angeles, CA 90038</t>
  </si>
  <si>
    <t>https://www.youtube.com/watch?v=qvLVtsC-HTE</t>
  </si>
  <si>
    <t>Saraba Garifuna Cuisine</t>
  </si>
  <si>
    <t>Lotus Root Taiwanese Fried Chicken</t>
  </si>
  <si>
    <t xml:space="preserve">*** </t>
  </si>
  <si>
    <t>$5.00 - Panades</t>
  </si>
  <si>
    <t>https://goo.gl/maps/a441aoJQPmEsRWoAA</t>
  </si>
  <si>
    <t>1425 South La Brea Ave, Los Angeles, CA 90019</t>
  </si>
  <si>
    <t>Fried Braised Pork Knuckles</t>
  </si>
  <si>
    <t>WOODSPOON</t>
  </si>
  <si>
    <t>$15.00 - Brazilian Chicken Pot Pie</t>
  </si>
  <si>
    <t>https://goo.gl/maps/3z5kSaoaoMcDMd119</t>
  </si>
  <si>
    <t>107 W 9th St, Los Angeles, CA 90015</t>
  </si>
  <si>
    <t>Sangria</t>
  </si>
  <si>
    <t>Gish Bac</t>
  </si>
  <si>
    <t>Borgo Sanleo Prive Extra Dry Sparkling Wine</t>
  </si>
  <si>
    <t>$6 Sauce Vs. $185 Sauce</t>
  </si>
  <si>
    <t>chicken treats</t>
  </si>
  <si>
    <t>$6.25 - Coloradito
Mole Negro
Horchata (special?)
Coloradito with pork ribs</t>
  </si>
  <si>
    <t>https://g.page/gishbac?share</t>
  </si>
  <si>
    <t>4163 W Washington Blvd, Los Angeles, CA 90018, United States</t>
  </si>
  <si>
    <t>https://youtu.be/CmI2dXo14sY?t=79</t>
  </si>
  <si>
    <t>Boba croissant and cake</t>
  </si>
  <si>
    <t>Bang Bang Noodles</t>
  </si>
  <si>
    <t>Sesame Oil Chicken</t>
  </si>
  <si>
    <t>$15.00 - Tingly Cumin Dry Noodles
$4.50 - Cold Chili Cucumbers</t>
  </si>
  <si>
    <t>https://goo.gl/maps/qxFinmjhoh5hbs739</t>
  </si>
  <si>
    <t>9355 Culver Blvd, Culver City, CA 90232, United States</t>
  </si>
  <si>
    <t>https://youtu.be/CmI2dXo14sY?t=309</t>
  </si>
  <si>
    <t xml:space="preserve">* </t>
  </si>
  <si>
    <t>Beggars Chicken</t>
  </si>
  <si>
    <r>
      <rPr>
        <rFont val="Arial"/>
        <sz val="10.0"/>
      </rPr>
      <t xml:space="preserve">Opening at </t>
    </r>
    <r>
      <rPr>
        <rFont val="Arial"/>
        <color rgb="FF1155CC"/>
        <sz val="10.0"/>
        <u/>
      </rPr>
      <t>Citizen Market</t>
    </r>
  </si>
  <si>
    <t>Scallion Pancakes</t>
  </si>
  <si>
    <t>Hilltop Coffee + Kitchen</t>
  </si>
  <si>
    <t>Yilan County</t>
  </si>
  <si>
    <t>Beignets with Berry Sauce</t>
  </si>
  <si>
    <t>https://goo.gl/maps/RPQ51qQnoydGnnvR9</t>
  </si>
  <si>
    <t>170 N La Brea Ave, Inglewood, CA 90301, United States</t>
  </si>
  <si>
    <t>https://youtu.be/CmI2dXo14sY?t=577</t>
  </si>
  <si>
    <t>The Veggie Cheeseburger</t>
  </si>
  <si>
    <t>pasajoli</t>
  </si>
  <si>
    <t>$185 - Pressed Duck for Two</t>
  </si>
  <si>
    <t>https://goo.gl/maps/E4aaQXMmkojjqcuXA</t>
  </si>
  <si>
    <t>2732 Main St, Santa Monica, CA 90405, United States</t>
  </si>
  <si>
    <t>https://youtu.be/CmI2dXo14sY?t=687</t>
  </si>
  <si>
    <t>The Regular</t>
  </si>
  <si>
    <t>$3.50 Soup Vs. $29 Soup • Taiwan
$3 Chicken Vs. $62 Chicken • Taiwan</t>
  </si>
  <si>
    <t xml:space="preserve"> - Peanut roll with ice cream and cilantro
 - chicken treats</t>
  </si>
  <si>
    <t>https://g.page/TainanGNM?share</t>
  </si>
  <si>
    <t>http://www.youtube.com/watch?v=xscOXwsaGLQ
http://www.youtube.com/watch?v=JCHttVEG_Lk</t>
  </si>
  <si>
    <t>10/20/2019
10/27/2019</t>
  </si>
  <si>
    <t>OTOTO</t>
  </si>
  <si>
    <t>$3 Takeout Vs. $129 Takeout
$10 Sushi &amp; Burger Vs. $58 Sushi &amp; Burger</t>
  </si>
  <si>
    <t>Big Mec Double Cheeseburger</t>
  </si>
  <si>
    <t>Worth It: Social Distancing Edition
6</t>
  </si>
  <si>
    <t>1
6</t>
  </si>
  <si>
    <t>$30.00 - Sake School Tasting Set
-
"$23.00 - Hirame Crudo
$14.00 - Ode To MOS Burger"</t>
  </si>
  <si>
    <t>https://goo.gl/maps/ueXHhdkbLKPcKdcu9</t>
  </si>
  <si>
    <r>
      <rPr>
        <rFont val="Arial"/>
        <color rgb="FF1155CC"/>
        <sz val="10.0"/>
        <u/>
      </rPr>
      <t xml:space="preserve">http://www.youtube.com/watch?v=SzOhHutFVKs
</t>
    </r>
    <r>
      <rPr>
        <rFont val="Arial"/>
        <color rgb="FF000000"/>
        <sz val="10.0"/>
        <u/>
      </rPr>
      <t xml:space="preserve">-
</t>
    </r>
    <r>
      <rPr>
        <rFont val="Arial"/>
        <color rgb="FF1155CC"/>
        <sz val="10.0"/>
        <u/>
      </rPr>
      <t>http://www.youtube.com/watch?v=CgjOzZ0EE9Y</t>
    </r>
  </si>
  <si>
    <t>5/17/2020
-
8/18/2019</t>
  </si>
  <si>
    <t>0
-
1</t>
  </si>
  <si>
    <t>$13 Korean Soup Vs. $88 Korean Soup
$3 Takeout Vs. $129 Takeout</t>
  </si>
  <si>
    <t xml:space="preserve">$$
</t>
  </si>
  <si>
    <t>6
Worth It: Social Distancing Edition</t>
  </si>
  <si>
    <t>3
1</t>
  </si>
  <si>
    <t>$16.95 - Pork Belly Dumpling Soup
$129.00 - Family Combo Meal</t>
  </si>
  <si>
    <t>https://goo.gl/maps/YGF9FUMDHoBpzjWY8</t>
  </si>
  <si>
    <t>http://www.youtube.com/watch?v=YqFen-4pUvw
http://www.youtube.com/watch?v=SzOhHutFVKs</t>
  </si>
  <si>
    <t>7/28/2019
5/17/2020</t>
  </si>
  <si>
    <t>Dessert Burger (special)</t>
  </si>
  <si>
    <t>$29 Vs. $180 Family-Style Meats
Eating A $132 Steak With A $950.01 Knife</t>
  </si>
  <si>
    <t>5
One Stop</t>
  </si>
  <si>
    <t>1
5</t>
  </si>
  <si>
    <t>$180.00 - APL Short Rib
$132.00 - The APL Tomahawk</t>
  </si>
  <si>
    <t>https://aplrestaurant.com/</t>
  </si>
  <si>
    <t>http://www.youtube.com/watch?v=uFmQmqNAmfo
https://www.youtube.com/watch?v=h_4vMTkfGAw&amp;t=15s</t>
  </si>
  <si>
    <t>9/9/2018
3/31/2019</t>
  </si>
  <si>
    <t>Feeds ??
eaten with a handmade $951.01 knife</t>
  </si>
  <si>
    <t>DOMESTIC</t>
  </si>
  <si>
    <t>$20 Whole Chicken Vs. $78 Whole Chicken</t>
  </si>
  <si>
    <t>$20 - Whole Chicken
Bacon Mac &amp; Cheese
Cornbread</t>
  </si>
  <si>
    <t>https://goo.gl/maps/tgbKTz1fa8i84SwU7</t>
  </si>
  <si>
    <t>325 N Citrus Ave, Covina, CA 91723, United States</t>
  </si>
  <si>
    <t>https://youtu.be/rRSOt9SpBMI?t=55</t>
  </si>
  <si>
    <t>Donkey roll, sesame roll, desserts</t>
  </si>
  <si>
    <t>Saucy Chick Rotisserie</t>
  </si>
  <si>
    <t>$45 Rotisserie Dinner to Share</t>
  </si>
  <si>
    <t>https://goo.gl/maps/dmiNKkbGVFzbfqJF8</t>
  </si>
  <si>
    <t>1539 Fishburn Ave, Los Angeles, CA 90063, United States</t>
  </si>
  <si>
    <t>https://youtu.be/rRSOt9SpBMI?t=320</t>
  </si>
  <si>
    <t>They ordered one of each the pibil and jeera chickens; comes with beans, rice, tortillas and sauce.</t>
  </si>
  <si>
    <t>Citrin Restaurant</t>
  </si>
  <si>
    <t>Garlic Noodles</t>
  </si>
  <si>
    <t>$78 Dirty Chicken for Two
Whipped Potatoes
Creamed Morels
Seasonal Ragu</t>
  </si>
  <si>
    <t>https://goo.gl/maps/99q2mZpg3BdD3K2W9</t>
  </si>
  <si>
    <t>1104 Wilshire Blvd Suite A, Santa Monica, CA 90401, United States</t>
  </si>
  <si>
    <t>https://youtu.be/rRSOt9SpBMI?t=786</t>
  </si>
  <si>
    <t>El Cochinito</t>
  </si>
  <si>
    <t>$4 Dessert Vs. $235 Dessert</t>
  </si>
  <si>
    <t>Ropa Vieja
Cubano Sandwich
$4.00 Arroz con Leche</t>
  </si>
  <si>
    <t>Garlic Roasted Dungeness Crab</t>
  </si>
  <si>
    <t>https://g.page/CochinitoLA?share</t>
  </si>
  <si>
    <t>3508 Sunset Blvd, Los Angeles, CA 90026, United States</t>
  </si>
  <si>
    <t>https://youtu.be/Bhos_P4a-JQ?t=40</t>
  </si>
  <si>
    <t>Alta</t>
  </si>
  <si>
    <t>$8.00 Pineapple Upside Down Cake
Fried Chicken
Ox Tails
Collard Greens
Buttermilk Vanilla Ice Cream</t>
  </si>
  <si>
    <t>https://goo.gl/maps/khknsi3jFmEQbDN58</t>
  </si>
  <si>
    <t>5359 W Adams Blvd, Los Angeles, CA 90016, United States</t>
  </si>
  <si>
    <t>https://youtu.be/Bhos_P4a-JQ?t=346</t>
  </si>
  <si>
    <t>Agnes restaurant &amp; cheesery</t>
  </si>
  <si>
    <t>Cheese Board</t>
  </si>
  <si>
    <t>https://goo.gl/maps/PxgPBCFfAg81xV4G9</t>
  </si>
  <si>
    <t>40 W Green St, Pasadena, CA 91105, United States</t>
  </si>
  <si>
    <t>https://youtu.be/Bhos_P4a-JQ?t=644</t>
  </si>
  <si>
    <t>Lil' Dizzy's Cafe</t>
  </si>
  <si>
    <t>$13 Shrimp Vs. $27 Shrimp</t>
  </si>
  <si>
    <t>$13.25 Fried Shrimp Po' Boy</t>
  </si>
  <si>
    <t>https://maps.app.goo.gl/95BaFMeTzz9aWRq97</t>
  </si>
  <si>
    <t>1500 Esplanade Ave, New Orleans, LA 70116</t>
  </si>
  <si>
    <t>https://youtu.be/VS0oPwb3sag?si=YpXWDO6OLGcGStzs&amp;t=36</t>
  </si>
  <si>
    <t>ordered bread pudding as well</t>
  </si>
  <si>
    <t>Luvi</t>
  </si>
  <si>
    <t>$16 Golden Nugget</t>
  </si>
  <si>
    <t>https://maps.app.goo.gl/TErkjmnLVNvgoDef8</t>
  </si>
  <si>
    <t>5236 Tchoupitoulas St, New Orleans, LA 70115</t>
  </si>
  <si>
    <t>https://youtu.be/VS0oPwb3sag?si=3fLqAVn6rKOTeBIg&amp;t=360</t>
  </si>
  <si>
    <t>started with $50 Feed Me tasting course</t>
  </si>
  <si>
    <t>Jacques-Imo's</t>
  </si>
  <si>
    <t>Big Plate Chicken</t>
  </si>
  <si>
    <t>$13.95 Shrimp &amp; alligator sausage cheesecake</t>
  </si>
  <si>
    <t>https://maps.app.goo.gl/PuwEbQUaJZJoEM5W6</t>
  </si>
  <si>
    <t>8324 Oak St, New Orleans, LA 70118</t>
  </si>
  <si>
    <t>https://youtu.be/VS0oPwb3sag?si=_WfWIPvEbdNutCWX&amp;t=758</t>
  </si>
  <si>
    <t xml:space="preserve">$ </t>
  </si>
  <si>
    <t>Wife's Special Noodle</t>
  </si>
  <si>
    <t>Cafe Sbisa</t>
  </si>
  <si>
    <t>$27 Barbecue Shrimp</t>
  </si>
  <si>
    <t>Cold Hot Chicken</t>
  </si>
  <si>
    <t>https://maps.app.goo.gl/5j1L6Zw1uGqVKL8DA</t>
  </si>
  <si>
    <t>1011 Decatur St, New Orleans, LA 70116</t>
  </si>
  <si>
    <t>https://youtu.be/VS0oPwb3sag?si=QMvL-mqZ-Hs78zQS&amp;t=830</t>
  </si>
  <si>
    <t xml:space="preserve">also ordered $12 fried pickles and  $14 crawfish beignets </t>
  </si>
  <si>
    <t>Abita Brewing Company</t>
  </si>
  <si>
    <t>Chicken Sandwich</t>
  </si>
  <si>
    <t>Various beers</t>
  </si>
  <si>
    <t>https://maps.app.goo.gl/N4iFk9Qn6Z3bDNLo8</t>
  </si>
  <si>
    <t>21084 LA-36, Covington, LA 70433</t>
  </si>
  <si>
    <t>https://youtu.be/VS0oPwb3sag?si=B7BiU4UJC_HecIUa&amp;t=1200</t>
  </si>
  <si>
    <t>Fried Chicken Sandwich</t>
  </si>
  <si>
    <t>Hotcake</t>
  </si>
  <si>
    <t>Caviar</t>
  </si>
  <si>
    <t>OG Single Cake</t>
  </si>
  <si>
    <t xml:space="preserve">orange juice </t>
  </si>
  <si>
    <t>Onigiri</t>
  </si>
  <si>
    <t>Yaki Onigiri</t>
  </si>
  <si>
    <t>Crispy Pig Ears</t>
  </si>
  <si>
    <t xml:space="preserve">Sea Bream Collar </t>
  </si>
  <si>
    <t>White Chocolate Risotto</t>
  </si>
  <si>
    <t>Tea Leaf Salad</t>
  </si>
  <si>
    <t>Heirloom Black Rice</t>
  </si>
  <si>
    <t>Beef and Brocoli</t>
  </si>
  <si>
    <t>Grilled BBQ Pork Banh Mi</t>
  </si>
  <si>
    <t>Dean's Signature Margarita</t>
  </si>
  <si>
    <t>Jumbo Gulf Lump Crab Cake Benedict</t>
  </si>
  <si>
    <t>Maple/Black Peppercorn Soaked Buffalo Tenderloin</t>
  </si>
  <si>
    <t>"Simple" Green Salad</t>
  </si>
  <si>
    <t>Donut Sandwich</t>
  </si>
  <si>
    <t>Bloody Mary</t>
  </si>
  <si>
    <t>Bucatini</t>
  </si>
  <si>
    <t>Coney Dog</t>
  </si>
  <si>
    <t>Detroit</t>
  </si>
  <si>
    <t>Carrot Cake</t>
  </si>
  <si>
    <t>Carrot Steak</t>
  </si>
  <si>
    <t>Lady Fantastic Coney Carrot Dog</t>
  </si>
  <si>
    <t>the Triple Threat</t>
  </si>
  <si>
    <r>
      <rPr>
        <rFont val="Arial"/>
        <color rgb="FF000000"/>
        <sz val="10.0"/>
        <u/>
      </rPr>
      <t xml:space="preserve">CLOSED </t>
    </r>
    <r>
      <rPr>
        <rFont val="Arial"/>
        <color rgb="FF1155CC"/>
        <sz val="10.0"/>
        <u/>
      </rPr>
      <t>Kogi Taqueria</t>
    </r>
  </si>
  <si>
    <t>Kimchi Quesadilla</t>
  </si>
  <si>
    <t>Quesadilla Adobada</t>
  </si>
  <si>
    <t>Baller Board</t>
  </si>
  <si>
    <t>Shabu Shabu Omakase Menu</t>
  </si>
  <si>
    <t>New York</t>
  </si>
  <si>
    <t>Pão De Queijo</t>
  </si>
  <si>
    <t>Kiano's Kenyan Beef Samosas</t>
  </si>
  <si>
    <t>Homemade dish, price for ingredients make approx 30.</t>
  </si>
  <si>
    <t>Rie's Russian Roulette Croquem Bouche</t>
  </si>
  <si>
    <t>Homemade dish, price for ingredients</t>
  </si>
  <si>
    <t>Mom's Apple Crumble Pie</t>
  </si>
  <si>
    <t>Salted Chocolate Pie</t>
  </si>
  <si>
    <t>Salted Caramel Pecan Pie</t>
  </si>
  <si>
    <t>Earl Grey Tea Pie</t>
  </si>
  <si>
    <t>Half Pound Grassfed Burger</t>
  </si>
  <si>
    <t>Prime Dry Aged Rib Roast 8.47lbs</t>
  </si>
  <si>
    <t>Homemade dish, price for raw meat</t>
  </si>
  <si>
    <t>Tteokbokki (Spicy Rice Cake)</t>
  </si>
  <si>
    <t>Kwesi's Ponche-de-Creme</t>
  </si>
  <si>
    <t>West Indian version of eggnog</t>
  </si>
  <si>
    <t>Ruby Roman Grapes</t>
  </si>
  <si>
    <t>Seasonal Tasting Menu</t>
  </si>
  <si>
    <t>Nikko Buried Treasure Bento</t>
  </si>
  <si>
    <t>Nikko</t>
  </si>
  <si>
    <t>Custom Candy</t>
  </si>
  <si>
    <t>Nagoya</t>
  </si>
  <si>
    <t>N/A</t>
  </si>
  <si>
    <t>Eating A $132 Steak With A $950.01 Knife</t>
  </si>
  <si>
    <t>The APL Tomahawk</t>
  </si>
  <si>
    <t>https://www.youtube.com/watch?v=h_4vMTkfGAw&amp;t=15s</t>
  </si>
  <si>
    <t>eaten with a handmade $951.01 knife</t>
  </si>
  <si>
    <t>Short Rib Taco</t>
  </si>
  <si>
    <t>Sake School Tasting Set</t>
  </si>
  <si>
    <t>Family Combo Meal</t>
  </si>
  <si>
    <t>Eggplant Namul</t>
  </si>
  <si>
    <t>Marintated Okra</t>
  </si>
  <si>
    <t>Gim Bugak (Nori Chip)</t>
  </si>
  <si>
    <t>popup by gwen</t>
  </si>
  <si>
    <t>Domaine Zafeirakis Limniona Rose</t>
  </si>
  <si>
    <t>The Gwen Basket</t>
  </si>
  <si>
    <t>Trilby Nelson Blanket</t>
  </si>
  <si>
    <t>Beef and Bone Marrow Pie</t>
  </si>
  <si>
    <t>Panades</t>
  </si>
  <si>
    <t>Brazilian Chicken Pot Pie</t>
  </si>
  <si>
    <t>Coloradito</t>
  </si>
  <si>
    <t xml:space="preserve"> Mole Negro</t>
  </si>
  <si>
    <t>Horchata (special?)</t>
  </si>
  <si>
    <t>Coloradito with pork ribs</t>
  </si>
  <si>
    <t>Tingly Cumin Dry Noodles</t>
  </si>
  <si>
    <r>
      <rPr>
        <rFont val="Arial"/>
        <sz val="10.0"/>
      </rPr>
      <t xml:space="preserve">Opening at </t>
    </r>
    <r>
      <rPr>
        <rFont val="Arial"/>
        <color rgb="FF1155CC"/>
        <sz val="10.0"/>
        <u/>
      </rPr>
      <t>Citizen Market</t>
    </r>
  </si>
  <si>
    <t>Cold Chili Cucumbers</t>
  </si>
  <si>
    <t>Pressed Duck for Two</t>
  </si>
  <si>
    <t>Whole Chicken</t>
  </si>
  <si>
    <t>Bacon Mac &amp; Cheese</t>
  </si>
  <si>
    <t>Cornbread</t>
  </si>
  <si>
    <t>Rotisserie Dinner to Share</t>
  </si>
  <si>
    <t>Dirty Chicken for Two</t>
  </si>
  <si>
    <t>Whipped Potatoes</t>
  </si>
  <si>
    <t>Creamed Morels</t>
  </si>
  <si>
    <t>Seasonal Ragu</t>
  </si>
  <si>
    <t>Ropa Vieja</t>
  </si>
  <si>
    <t>Cubano Sandwich</t>
  </si>
  <si>
    <t>Arroz con Leche</t>
  </si>
  <si>
    <t>Pineapple Upside Down Cake</t>
  </si>
  <si>
    <t>Fried Chicken</t>
  </si>
  <si>
    <t>Ox Tails</t>
  </si>
  <si>
    <t>Collard Greens</t>
  </si>
  <si>
    <t>Buttermilk Vanilla Ice Cream</t>
  </si>
  <si>
    <t>Spago</t>
  </si>
  <si>
    <t>Enlish Muffin with Sea Urchin</t>
  </si>
  <si>
    <t>https://youtu.be/Bhos_P4a-JQ?t=854</t>
  </si>
  <si>
    <t>Keluga Caviar Rye Tart</t>
  </si>
  <si>
    <t>Hokkaido Scallop Ceviche</t>
  </si>
  <si>
    <t>Charred Sunchoke</t>
  </si>
  <si>
    <t>Sautéed Maine Monkfish</t>
  </si>
  <si>
    <t>Lacquered Liberty Farm's Duck Breast</t>
  </si>
  <si>
    <t>Dessert Tasting Menu</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</si>
</sst>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quot;$&quot;#,##0.00"/>
    <numFmt numFmtId="166" formatCode="&quot;$&quot;#,##0"/>
    <numFmt numFmtId="167" formatCode="d mmm yyyy"/>
  </numFmts>
  <fonts count="24">
    <font>
      <sz val="10.0"/>
      <color rgb="FF000000"/>
      <name val="Arial"/>
    </font>
    <font>
      <b/>
      <sz val="10.0"/>
      <name val="Arial"/>
    </font>
    <font>
      <sz val="10.0"/>
      <name val="Arial"/>
    </font>
    <font>
      <color rgb="FF525066"/>
      <name val="Arial"/>
    </font>
    <font>
      <u/>
      <sz val="10.0"/>
      <color rgb="FF0000FF"/>
      <name val="Arial"/>
    </font>
    <font>
      <u/>
      <color rgb="FF0000FF"/>
    </font>
    <font>
      <color rgb="FF525066"/>
      <name val="Monospace"/>
    </font>
    <font>
      <u/>
      <sz val="10.0"/>
      <color rgb="FF1155CC"/>
      <name val="Arial"/>
    </font>
    <font>
      <u/>
      <sz val="10.0"/>
      <color rgb="FF1155CC"/>
      <name val="Arial"/>
    </font>
    <font>
      <u/>
      <sz val="10.0"/>
      <color rgb="FF0000FF"/>
      <name val="Arial"/>
    </font>
    <font>
      <u/>
      <sz val="10.0"/>
      <color rgb="FF1155CC"/>
      <name val="Arial"/>
    </font>
    <font>
      <sz val="10.0"/>
      <color rgb="FF202122"/>
      <name val="Arial"/>
    </font>
    <font>
      <u/>
      <color rgb="FF525066"/>
      <name val="Monospace"/>
    </font>
    <font>
      <u/>
      <sz val="10.0"/>
      <color rgb="FF0000FF"/>
      <name val="Arial"/>
    </font>
    <font>
      <u/>
      <sz val="10.0"/>
      <color rgb="FF1155CC"/>
      <name val="Arial"/>
    </font>
    <font>
      <color rgb="FF000000"/>
      <name val="Arial"/>
    </font>
    <font>
      <u/>
      <sz val="10.0"/>
      <color rgb="FF1155CC"/>
      <name val="Arial"/>
    </font>
    <font>
      <color rgb="FF000000"/>
      <name val="Roboto"/>
    </font>
    <font>
      <u/>
      <color rgb="FF0000FF"/>
    </font>
    <font/>
    <font>
      <u/>
      <color rgb="FF1155CC"/>
    </font>
    <font>
      <u/>
      <color rgb="FF1155CC"/>
      <name val="&quot;Google Sans&quot;"/>
    </font>
    <font>
      <u/>
      <sz val="10.0"/>
      <color rgb="FF0000FF"/>
      <name val="Arial"/>
    </font>
    <font>
      <u/>
      <color rgb="FF0000FF"/>
      <name val="&quot;Google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readingOrder="0"/>
    </xf>
    <xf borderId="0" fillId="2" fontId="3" numFmtId="0" xfId="0" applyAlignment="1" applyFill="1" applyFont="1">
      <alignment readingOrder="0"/>
    </xf>
    <xf borderId="0" fillId="2" fontId="1" numFmtId="164" xfId="0" applyAlignment="1" applyFill="1" applyFont="1" applyNumberFormat="1">
      <alignment readingOrder="0"/>
    </xf>
    <xf borderId="0" fillId="2" fontId="1" numFmtId="165" xfId="0" applyAlignment="1" applyFill="1" applyFont="1" applyNumberFormat="1">
      <alignment readingOrder="0"/>
    </xf>
    <xf borderId="0" fillId="2" fontId="4" numFmtId="0" xfId="0" applyAlignment="1" applyFill="1" applyFont="1">
      <alignment readingOrder="0"/>
    </xf>
    <xf borderId="0" fillId="2" fontId="2" numFmtId="0" xfId="0" applyAlignment="1" applyFill="1" applyFont="1">
      <alignment vertical="bottom"/>
    </xf>
    <xf borderId="0" fillId="0" fontId="5" numFmtId="0" xfId="0" applyAlignment="1" applyFont="1">
      <alignment readingOrder="0" shrinkToFit="0" vertical="top" wrapText="1"/>
    </xf>
    <xf borderId="0" fillId="2" fontId="2" numFmtId="0" xfId="0" applyFill="1" applyFont="1"/>
    <xf borderId="0" fillId="2" fontId="6" numFmtId="0" xfId="0" applyFill="1" applyFont="1"/>
    <xf borderId="0" fillId="2" fontId="2" numFmtId="0" xfId="0" applyAlignment="1" applyFill="1" applyFont="1">
      <alignment readingOrder="0"/>
    </xf>
    <xf borderId="0" fillId="2" fontId="2" numFmtId="165" xfId="0" applyAlignment="1" applyFill="1" applyFont="1" applyNumberFormat="1">
      <alignment readingOrder="0"/>
    </xf>
    <xf borderId="0" fillId="2" fontId="7" numFmtId="0" xfId="0" applyAlignment="1" applyFill="1" applyFont="1">
      <alignment vertical="bottom"/>
    </xf>
    <xf borderId="0" fillId="2" fontId="2" numFmtId="164" xfId="0" applyAlignment="1" applyFill="1" applyFont="1" applyNumberFormat="1">
      <alignment vertical="bottom"/>
    </xf>
    <xf borderId="0" fillId="2" fontId="2" numFmtId="0" xfId="0" applyFill="1" applyFont="1"/>
    <xf borderId="0" fillId="2" fontId="8" numFmtId="0" xfId="0" applyAlignment="1" applyFill="1" applyFont="1">
      <alignment readingOrder="0"/>
    </xf>
    <xf borderId="0" fillId="2" fontId="9" numFmtId="0" xfId="0" applyAlignment="1" applyFill="1" applyFont="1">
      <alignment vertical="bottom"/>
    </xf>
    <xf borderId="0" fillId="2" fontId="0" numFmtId="0" xfId="0" applyAlignment="1" applyFill="1" applyFont="1">
      <alignment horizontal="left" readingOrder="0" shrinkToFit="0" wrapText="0"/>
    </xf>
    <xf borderId="0" fillId="2" fontId="0" numFmtId="0" xfId="0" applyAlignment="1" applyFill="1" applyFont="1">
      <alignment horizontal="left" readingOrder="0" shrinkToFit="0" wrapText="0"/>
    </xf>
    <xf borderId="0" fillId="2" fontId="2" numFmtId="0" xfId="0" applyAlignment="1" applyFill="1" applyFont="1">
      <alignment readingOrder="0" vertical="bottom"/>
    </xf>
    <xf borderId="0" fillId="2" fontId="10" numFmtId="0" xfId="0" applyAlignment="1" applyFill="1" applyFont="1">
      <alignment readingOrder="0" vertical="bottom"/>
    </xf>
    <xf borderId="0" fillId="2" fontId="11" numFmtId="0" xfId="0" applyAlignment="1" applyFill="1" applyFont="1">
      <alignment readingOrder="0"/>
    </xf>
    <xf borderId="0" fillId="2" fontId="12" numFmtId="0" xfId="0" applyAlignment="1" applyFill="1" applyFont="1">
      <alignment readingOrder="0"/>
    </xf>
    <xf borderId="0" fillId="2" fontId="2" numFmtId="0" xfId="0" applyAlignment="1" applyFill="1" applyFont="1">
      <alignment readingOrder="0"/>
    </xf>
    <xf borderId="0" fillId="2" fontId="2" numFmtId="165" xfId="0" applyAlignment="1" applyFill="1" applyFont="1" applyNumberFormat="1">
      <alignment readingOrder="0"/>
    </xf>
    <xf borderId="0" fillId="2" fontId="2" numFmtId="166" xfId="0" applyAlignment="1" applyFill="1" applyFont="1" applyNumberFormat="1">
      <alignment readingOrder="0"/>
    </xf>
    <xf borderId="0" fillId="2" fontId="2" numFmtId="164" xfId="0" applyAlignment="1" applyFill="1" applyFont="1" applyNumberFormat="1">
      <alignment readingOrder="0" vertical="bottom"/>
    </xf>
    <xf borderId="0" fillId="2" fontId="11" numFmtId="0" xfId="0" applyAlignment="1" applyFill="1" applyFont="1">
      <alignment vertical="bottom"/>
    </xf>
    <xf borderId="0" fillId="2" fontId="2" numFmtId="0" xfId="0" applyAlignment="1" applyFill="1" applyFont="1">
      <alignment horizontal="right" vertical="bottom"/>
    </xf>
    <xf borderId="0" fillId="2" fontId="11" numFmtId="0" xfId="0" applyAlignment="1" applyFill="1" applyFont="1">
      <alignment horizontal="right" vertical="bottom"/>
    </xf>
    <xf borderId="0" fillId="2" fontId="13" numFmtId="0" xfId="0" applyAlignment="1" applyFill="1" applyFont="1">
      <alignment readingOrder="0"/>
    </xf>
    <xf borderId="0" fillId="2" fontId="2" numFmtId="164" xfId="0" applyAlignment="1" applyFill="1" applyFont="1" applyNumberFormat="1">
      <alignment readingOrder="0"/>
    </xf>
    <xf borderId="0" fillId="2" fontId="14" numFmtId="0" xfId="0" applyAlignment="1" applyFill="1" applyFont="1">
      <alignment horizontal="left" readingOrder="0"/>
    </xf>
    <xf borderId="0" fillId="2" fontId="0" numFmtId="0" xfId="0" applyAlignment="1" applyFill="1" applyFont="1">
      <alignment horizontal="left" readingOrder="0"/>
    </xf>
    <xf borderId="0" fillId="2" fontId="2" numFmtId="165" xfId="0" applyFill="1" applyFont="1" applyNumberFormat="1"/>
    <xf borderId="0" fillId="2" fontId="15" numFmtId="0" xfId="0" applyAlignment="1" applyFill="1" applyFont="1">
      <alignment horizontal="left" readingOrder="0"/>
    </xf>
    <xf borderId="0" fillId="2" fontId="0" numFmtId="0" xfId="0" applyAlignment="1" applyFill="1" applyFont="1">
      <alignment readingOrder="0"/>
    </xf>
    <xf borderId="0" fillId="2" fontId="2" numFmtId="0" xfId="0" applyAlignment="1" applyFill="1" applyFont="1">
      <alignment readingOrder="0"/>
    </xf>
    <xf borderId="0" fillId="2" fontId="16" numFmtId="0" xfId="0" applyAlignment="1" applyFill="1" applyFont="1">
      <alignment readingOrder="0" vertical="bottom"/>
    </xf>
    <xf borderId="0" fillId="0" fontId="17" numFmtId="0" xfId="0" applyAlignment="1" applyFont="1">
      <alignment readingOrder="0"/>
    </xf>
    <xf borderId="0" fillId="0" fontId="18" numFmtId="0" xfId="0" applyAlignment="1" applyFont="1">
      <alignment readingOrder="0"/>
    </xf>
    <xf borderId="0" fillId="2" fontId="2" numFmtId="14" xfId="0" applyAlignment="1" applyFill="1" applyFont="1" applyNumberFormat="1">
      <alignment readingOrder="0" vertical="bottom"/>
    </xf>
    <xf borderId="0" fillId="0" fontId="19" numFmtId="0" xfId="0" applyAlignment="1" applyFont="1">
      <alignment readingOrder="0"/>
    </xf>
    <xf borderId="0" fillId="0" fontId="20" numFmtId="0" xfId="0" applyAlignment="1" applyFont="1">
      <alignment readingOrder="0"/>
    </xf>
    <xf borderId="0" fillId="0" fontId="19" numFmtId="167" xfId="0" applyAlignment="1" applyFont="1" applyNumberFormat="1">
      <alignment readingOrder="0"/>
    </xf>
    <xf borderId="0" fillId="2" fontId="21" numFmtId="0" xfId="0" applyAlignment="1" applyFill="1" applyFont="1">
      <alignment horizontal="left" readingOrder="0"/>
    </xf>
    <xf borderId="0" fillId="2" fontId="22" numFmtId="0" xfId="0" applyAlignment="1" applyFill="1" applyFont="1">
      <alignment readingOrder="0" vertical="bottom"/>
    </xf>
    <xf borderId="0" fillId="2" fontId="23" numFmtId="0" xfId="0" applyAlignment="1" applyFill="1" applyFont="1">
      <alignment horizontal="left" readingOrder="0"/>
    </xf>
    <xf borderId="0" fillId="2" fontId="2" numFmtId="0" xfId="0" applyAlignment="1" applyFill="1" applyFont="1">
      <alignment vertical="bottom"/>
    </xf>
    <xf borderId="0" fillId="2" fontId="11" numFmtId="0" xfId="0" applyAlignment="1" applyFill="1" applyFont="1">
      <alignment horizontal="right" vertical="bottom"/>
    </xf>
    <xf borderId="0" fillId="2" fontId="0" numFmtId="0" xfId="0" applyAlignment="1" applyFill="1" applyFont="1">
      <alignment horizontal="righ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40" Type="http://schemas.openxmlformats.org/officeDocument/2006/relationships/hyperlink" Target="http://www.youtube.com/watch?v=rNuIOpfA2HA" TargetMode="External"/><Relationship Id="rId190" Type="http://schemas.openxmlformats.org/officeDocument/2006/relationships/hyperlink" Target="http://www.youtube.com/watch?v=PbQyevYlLAY" TargetMode="External"/><Relationship Id="rId42" Type="http://schemas.openxmlformats.org/officeDocument/2006/relationships/hyperlink" Target="http://www.youtube.com/watch?v=bcdJgjNDsto" TargetMode="External"/><Relationship Id="rId41" Type="http://schemas.openxmlformats.org/officeDocument/2006/relationships/hyperlink" Target="http://www.youtube.com/watch?v=rNuIOpfA2HA" TargetMode="External"/><Relationship Id="rId44" Type="http://schemas.openxmlformats.org/officeDocument/2006/relationships/hyperlink" Target="http://www.youtube.com/watch?v=bcdJgjNDsto" TargetMode="External"/><Relationship Id="rId194" Type="http://schemas.openxmlformats.org/officeDocument/2006/relationships/hyperlink" Target="http://www.youtube.com/watch?v=CgjOzZ0EE9Y" TargetMode="External"/><Relationship Id="rId43" Type="http://schemas.openxmlformats.org/officeDocument/2006/relationships/hyperlink" Target="http://www.youtube.com/watch?v=bcdJgjNDsto" TargetMode="External"/><Relationship Id="rId193" Type="http://schemas.openxmlformats.org/officeDocument/2006/relationships/hyperlink" Target="http://www.youtube.com/watch?v=CgjOzZ0EE9Y" TargetMode="External"/><Relationship Id="rId46" Type="http://schemas.openxmlformats.org/officeDocument/2006/relationships/hyperlink" Target="http://www.youtube.com/watch?v=dJJFkOVHEng" TargetMode="External"/><Relationship Id="rId192" Type="http://schemas.openxmlformats.org/officeDocument/2006/relationships/hyperlink" Target="http://www.youtube.com/watch?v=PbQyevYlLAY" TargetMode="External"/><Relationship Id="rId45" Type="http://schemas.openxmlformats.org/officeDocument/2006/relationships/hyperlink" Target="http://www.youtube.com/watch?v=dJJFkOVHEng" TargetMode="External"/><Relationship Id="rId191" Type="http://schemas.openxmlformats.org/officeDocument/2006/relationships/hyperlink" Target="https://goo.gl/maps/qfpSPEZzdE715sQs8" TargetMode="External"/><Relationship Id="rId48" Type="http://schemas.openxmlformats.org/officeDocument/2006/relationships/hyperlink" Target="http://www.youtube.com/watch?v=oCxJhNLCdAU" TargetMode="External"/><Relationship Id="rId187" Type="http://schemas.openxmlformats.org/officeDocument/2006/relationships/hyperlink" Target="https://g.page/angeliniosteria?share" TargetMode="External"/><Relationship Id="rId47" Type="http://schemas.openxmlformats.org/officeDocument/2006/relationships/hyperlink" Target="http://www.youtube.com/watch?v=dJJFkOVHEng" TargetMode="External"/><Relationship Id="rId186" Type="http://schemas.openxmlformats.org/officeDocument/2006/relationships/hyperlink" Target="http://www.youtube.com/watch?v=LBJVq56fptQ" TargetMode="External"/><Relationship Id="rId185" Type="http://schemas.openxmlformats.org/officeDocument/2006/relationships/hyperlink" Target="https://goo.gl/maps/K7huV4mRQE4riKAJ7" TargetMode="External"/><Relationship Id="rId49" Type="http://schemas.openxmlformats.org/officeDocument/2006/relationships/hyperlink" Target="http://www.youtube.com/watch?v=oCxJhNLCdAU" TargetMode="External"/><Relationship Id="rId184" Type="http://schemas.openxmlformats.org/officeDocument/2006/relationships/hyperlink" Target="http://www.youtube.com/watch?v=LBJVq56fptQ" TargetMode="External"/><Relationship Id="rId189" Type="http://schemas.openxmlformats.org/officeDocument/2006/relationships/hyperlink" Target="https://goo.gl/maps/cjjYARdSPdpBTFow9" TargetMode="External"/><Relationship Id="rId188" Type="http://schemas.openxmlformats.org/officeDocument/2006/relationships/hyperlink" Target="http://www.youtube.com/watch?v=PbQyevYlLAY" TargetMode="External"/><Relationship Id="rId31" Type="http://schemas.openxmlformats.org/officeDocument/2006/relationships/hyperlink" Target="http://www.youtube.com/watch?v=0n89GZvmeXI" TargetMode="External"/><Relationship Id="rId30" Type="http://schemas.openxmlformats.org/officeDocument/2006/relationships/hyperlink" Target="http://www.youtube.com/watch?v=0n89GZvmeXI" TargetMode="External"/><Relationship Id="rId33" Type="http://schemas.openxmlformats.org/officeDocument/2006/relationships/hyperlink" Target="http://www.youtube.com/watch?v=U61yzVVlUoE" TargetMode="External"/><Relationship Id="rId183" Type="http://schemas.openxmlformats.org/officeDocument/2006/relationships/hyperlink" Target="https://goo.gl/maps/3tP1LfqvZaJ9Lpk19" TargetMode="External"/><Relationship Id="rId32" Type="http://schemas.openxmlformats.org/officeDocument/2006/relationships/hyperlink" Target="http://www.youtube.com/watch?v=0n89GZvmeXI" TargetMode="External"/><Relationship Id="rId182" Type="http://schemas.openxmlformats.org/officeDocument/2006/relationships/hyperlink" Target="http://www.youtube.com/watch?v=LBJVq56fptQ" TargetMode="External"/><Relationship Id="rId35" Type="http://schemas.openxmlformats.org/officeDocument/2006/relationships/hyperlink" Target="http://www.youtube.com/watch?v=U61yzVVlUoE" TargetMode="External"/><Relationship Id="rId181" Type="http://schemas.openxmlformats.org/officeDocument/2006/relationships/hyperlink" Target="https://g.page/tartine-bianco?share" TargetMode="External"/><Relationship Id="rId34" Type="http://schemas.openxmlformats.org/officeDocument/2006/relationships/hyperlink" Target="http://www.youtube.com/watch?v=U61yzVVlUoE" TargetMode="External"/><Relationship Id="rId180" Type="http://schemas.openxmlformats.org/officeDocument/2006/relationships/hyperlink" Target="http://www.youtube.com/watch?v=YqFen-4pUvw" TargetMode="External"/><Relationship Id="rId37" Type="http://schemas.openxmlformats.org/officeDocument/2006/relationships/hyperlink" Target="http://www.youtube.com/watch?v=DWq_sSSWWSI" TargetMode="External"/><Relationship Id="rId176" Type="http://schemas.openxmlformats.org/officeDocument/2006/relationships/hyperlink" Target="http://www.youtube.com/watch?v=YqFen-4pUvw" TargetMode="External"/><Relationship Id="rId297" Type="http://schemas.openxmlformats.org/officeDocument/2006/relationships/hyperlink" Target="https://goo.gl/maps/3z5kSaoaoMcDMd119" TargetMode="External"/><Relationship Id="rId36" Type="http://schemas.openxmlformats.org/officeDocument/2006/relationships/hyperlink" Target="http://www.youtube.com/watch?v=DWq_sSSWWSI" TargetMode="External"/><Relationship Id="rId175" Type="http://schemas.openxmlformats.org/officeDocument/2006/relationships/hyperlink" Target="https://goo.gl/maps/wWpYNwYQfPVgVLu58" TargetMode="External"/><Relationship Id="rId296" Type="http://schemas.openxmlformats.org/officeDocument/2006/relationships/hyperlink" Target="https://www.youtube.com/watch?v=qvLVtsC-HTE" TargetMode="External"/><Relationship Id="rId39" Type="http://schemas.openxmlformats.org/officeDocument/2006/relationships/hyperlink" Target="http://www.youtube.com/watch?v=rNuIOpfA2HA" TargetMode="External"/><Relationship Id="rId174" Type="http://schemas.openxmlformats.org/officeDocument/2006/relationships/hyperlink" Target="https://www.youtube.com/watch?v=Qlswv7eLykc&amp;t=16s" TargetMode="External"/><Relationship Id="rId295" Type="http://schemas.openxmlformats.org/officeDocument/2006/relationships/hyperlink" Target="https://goo.gl/maps/a441aoJQPmEsRWoAA" TargetMode="External"/><Relationship Id="rId38" Type="http://schemas.openxmlformats.org/officeDocument/2006/relationships/hyperlink" Target="http://www.youtube.com/watch?v=DWq_sSSWWSI" TargetMode="External"/><Relationship Id="rId173" Type="http://schemas.openxmlformats.org/officeDocument/2006/relationships/hyperlink" Target="https://goo.gl/maps/k4wggZYoziWZ1NoW8" TargetMode="External"/><Relationship Id="rId294" Type="http://schemas.openxmlformats.org/officeDocument/2006/relationships/hyperlink" Target="https://www.youtube.com/watch?v=qvLVtsC-HTE" TargetMode="External"/><Relationship Id="rId179" Type="http://schemas.openxmlformats.org/officeDocument/2006/relationships/hyperlink" Target="https://goo.gl/maps/ut4kDwks1Bq1PwX46" TargetMode="External"/><Relationship Id="rId178" Type="http://schemas.openxmlformats.org/officeDocument/2006/relationships/hyperlink" Target="http://www.youtube.com/watch?v=YqFen-4pUvw" TargetMode="External"/><Relationship Id="rId299" Type="http://schemas.openxmlformats.org/officeDocument/2006/relationships/hyperlink" Target="https://g.page/gishbac?share" TargetMode="External"/><Relationship Id="rId177" Type="http://schemas.openxmlformats.org/officeDocument/2006/relationships/hyperlink" Target="https://goo.gl/maps/HjWSNh9uMKUe85x6A" TargetMode="External"/><Relationship Id="rId298" Type="http://schemas.openxmlformats.org/officeDocument/2006/relationships/hyperlink" Target="https://www.youtube.com/watch?v=qvLVtsC-HTE" TargetMode="External"/><Relationship Id="rId20" Type="http://schemas.openxmlformats.org/officeDocument/2006/relationships/hyperlink" Target="http://www.youtube.com/watch?v=6R8n6FbXVc8" TargetMode="External"/><Relationship Id="rId22" Type="http://schemas.openxmlformats.org/officeDocument/2006/relationships/hyperlink" Target="http://www.youtube.com/watch?v=V9eeg8d9XEg" TargetMode="External"/><Relationship Id="rId21" Type="http://schemas.openxmlformats.org/officeDocument/2006/relationships/hyperlink" Target="http://www.youtube.com/watch?v=6R8n6FbXVc8" TargetMode="External"/><Relationship Id="rId24" Type="http://schemas.openxmlformats.org/officeDocument/2006/relationships/hyperlink" Target="http://ookookkoreanbbq.top-cafes.com/" TargetMode="External"/><Relationship Id="rId23" Type="http://schemas.openxmlformats.org/officeDocument/2006/relationships/hyperlink" Target="http://www.youtube.com/watch?v=GTXP2FzQS94" TargetMode="External"/><Relationship Id="rId26" Type="http://schemas.openxmlformats.org/officeDocument/2006/relationships/hyperlink" Target="http://www.youtube.com/watch?v=GTXP2FzQS94" TargetMode="External"/><Relationship Id="rId25" Type="http://schemas.openxmlformats.org/officeDocument/2006/relationships/hyperlink" Target="http://www.youtube.com/watch?v=GTXP2FzQS94" TargetMode="External"/><Relationship Id="rId28" Type="http://schemas.openxmlformats.org/officeDocument/2006/relationships/hyperlink" Target="http://www.youtube.com/watch?v=n4bucphC9r4" TargetMode="External"/><Relationship Id="rId27" Type="http://schemas.openxmlformats.org/officeDocument/2006/relationships/hyperlink" Target="http://www.youtube.com/watch?v=n4bucphC9r4" TargetMode="External"/><Relationship Id="rId29" Type="http://schemas.openxmlformats.org/officeDocument/2006/relationships/hyperlink" Target="http://www.youtube.com/watch?v=n4bucphC9r4" TargetMode="External"/><Relationship Id="rId11" Type="http://schemas.openxmlformats.org/officeDocument/2006/relationships/hyperlink" Target="http://www.youtube.com/watch?v=Z5FoX3ju2J0" TargetMode="External"/><Relationship Id="rId10" Type="http://schemas.openxmlformats.org/officeDocument/2006/relationships/hyperlink" Target="http://www.youtube.com/watch?v=vzSfnduxNDg" TargetMode="External"/><Relationship Id="rId13" Type="http://schemas.openxmlformats.org/officeDocument/2006/relationships/hyperlink" Target="http://www.youtube.com/watch?v=Z5FoX3ju2J0" TargetMode="External"/><Relationship Id="rId12" Type="http://schemas.openxmlformats.org/officeDocument/2006/relationships/hyperlink" Target="http://www.youtube.com/watch?v=Z5FoX3ju2J0" TargetMode="External"/><Relationship Id="rId15" Type="http://schemas.openxmlformats.org/officeDocument/2006/relationships/hyperlink" Target="http://www.youtube.com/watch?v=NHiqsrYkcuk" TargetMode="External"/><Relationship Id="rId198" Type="http://schemas.openxmlformats.org/officeDocument/2006/relationships/hyperlink" Target="http://www.youtube.com/watch?v=w3XS900kg1U" TargetMode="External"/><Relationship Id="rId14" Type="http://schemas.openxmlformats.org/officeDocument/2006/relationships/hyperlink" Target="http://www.youtube.com/watch?v=NHiqsrYkcuk" TargetMode="External"/><Relationship Id="rId197" Type="http://schemas.openxmlformats.org/officeDocument/2006/relationships/hyperlink" Target="https://goo.gl/maps/BkN1xN1T9V5NzbtL6" TargetMode="External"/><Relationship Id="rId17" Type="http://schemas.openxmlformats.org/officeDocument/2006/relationships/hyperlink" Target="http://www.youtube.com/watch?v=6R8n6FbXVc8" TargetMode="External"/><Relationship Id="rId196" Type="http://schemas.openxmlformats.org/officeDocument/2006/relationships/hyperlink" Target="http://www.youtube.com/watch?v=w3XS900kg1U" TargetMode="External"/><Relationship Id="rId16" Type="http://schemas.openxmlformats.org/officeDocument/2006/relationships/hyperlink" Target="http://www.youtube.com/watch?v=NHiqsrYkcuk" TargetMode="External"/><Relationship Id="rId195" Type="http://schemas.openxmlformats.org/officeDocument/2006/relationships/hyperlink" Target="https://goo.gl/maps/TsXkckVxJ6ELfvp2A" TargetMode="External"/><Relationship Id="rId19" Type="http://schemas.openxmlformats.org/officeDocument/2006/relationships/hyperlink" Target="http://www.youtube.com/watch?v=6R8n6FbXVc8" TargetMode="External"/><Relationship Id="rId18" Type="http://schemas.openxmlformats.org/officeDocument/2006/relationships/hyperlink" Target="http://www.youtube.com/watch?v=6R8n6FbXVc8" TargetMode="External"/><Relationship Id="rId199" Type="http://schemas.openxmlformats.org/officeDocument/2006/relationships/hyperlink" Target="https://goo.gl/maps/owXi3XT1B93UiEMG8" TargetMode="External"/><Relationship Id="rId84" Type="http://schemas.openxmlformats.org/officeDocument/2006/relationships/hyperlink" Target="http://www.youtube.com/watch?v=QtVL76gh09U" TargetMode="External"/><Relationship Id="rId83" Type="http://schemas.openxmlformats.org/officeDocument/2006/relationships/hyperlink" Target="http://www.youtube.com/watch?v=QtVL76gh09U" TargetMode="External"/><Relationship Id="rId86" Type="http://schemas.openxmlformats.org/officeDocument/2006/relationships/hyperlink" Target="http://www.youtube.com/watch?v=qIbbJV-grHg" TargetMode="External"/><Relationship Id="rId85" Type="http://schemas.openxmlformats.org/officeDocument/2006/relationships/hyperlink" Target="http://www.youtube.com/watch?v=QtVL76gh09U" TargetMode="External"/><Relationship Id="rId88" Type="http://schemas.openxmlformats.org/officeDocument/2006/relationships/hyperlink" Target="http://www.youtube.com/watch?v=qIbbJV-grHg" TargetMode="External"/><Relationship Id="rId150" Type="http://schemas.openxmlformats.org/officeDocument/2006/relationships/hyperlink" Target="http://www.youtube.com/watch?v=FLqvTE1Eqfg" TargetMode="External"/><Relationship Id="rId271" Type="http://schemas.openxmlformats.org/officeDocument/2006/relationships/hyperlink" Target="https://g.page/Goodcakesandbakes?share" TargetMode="External"/><Relationship Id="rId87" Type="http://schemas.openxmlformats.org/officeDocument/2006/relationships/hyperlink" Target="http://www.youtube.com/watch?v=qIbbJV-grHg" TargetMode="External"/><Relationship Id="rId270" Type="http://schemas.openxmlformats.org/officeDocument/2006/relationships/hyperlink" Target="https://www.youtube.com/watch?v=f8BLlSvqrVc" TargetMode="External"/><Relationship Id="rId89" Type="http://schemas.openxmlformats.org/officeDocument/2006/relationships/hyperlink" Target="http://www.youtube.com/watch?v=uDzl5PG51uI" TargetMode="External"/><Relationship Id="rId80" Type="http://schemas.openxmlformats.org/officeDocument/2006/relationships/hyperlink" Target="http://www.youtube.com/watch?v=yyv2gOHMGEc" TargetMode="External"/><Relationship Id="rId82" Type="http://schemas.openxmlformats.org/officeDocument/2006/relationships/hyperlink" Target="http://www.youtube.com/watch?v=yyv2gOHMGEc" TargetMode="External"/><Relationship Id="rId81" Type="http://schemas.openxmlformats.org/officeDocument/2006/relationships/hyperlink" Target="http://www.youtube.com/watch?v=yyv2gOHMGEc" TargetMode="External"/><Relationship Id="rId1" Type="http://schemas.openxmlformats.org/officeDocument/2006/relationships/hyperlink" Target="http://www.youtube.com/watch?v=2GZrPR5Ajrs" TargetMode="External"/><Relationship Id="rId2" Type="http://schemas.openxmlformats.org/officeDocument/2006/relationships/hyperlink" Target="https://g.page/sasabuneglendale?share" TargetMode="External"/><Relationship Id="rId3" Type="http://schemas.openxmlformats.org/officeDocument/2006/relationships/hyperlink" Target="http://www.youtube.com/watch?v=2GZrPR5Ajrs" TargetMode="External"/><Relationship Id="rId149" Type="http://schemas.openxmlformats.org/officeDocument/2006/relationships/hyperlink" Target="http://www.youtube.com/watch?v=FLqvTE1Eqfg" TargetMode="External"/><Relationship Id="rId4" Type="http://schemas.openxmlformats.org/officeDocument/2006/relationships/hyperlink" Target="http://www.youtube.com/watch?v=2GZrPR5Ajrs" TargetMode="External"/><Relationship Id="rId148" Type="http://schemas.openxmlformats.org/officeDocument/2006/relationships/hyperlink" Target="http://www.youtube.com/watch?v=9yh6-d_u-hA" TargetMode="External"/><Relationship Id="rId269" Type="http://schemas.openxmlformats.org/officeDocument/2006/relationships/hyperlink" Target="https://goo.gl/maps/WX7Dmrui2cQ7fJL16" TargetMode="External"/><Relationship Id="rId9" Type="http://schemas.openxmlformats.org/officeDocument/2006/relationships/hyperlink" Target="http://www.youtube.com/watch?v=vzSfnduxNDg" TargetMode="External"/><Relationship Id="rId143" Type="http://schemas.openxmlformats.org/officeDocument/2006/relationships/hyperlink" Target="http://www.youtube.com/watch?v=qUm8TSGtenI" TargetMode="External"/><Relationship Id="rId264" Type="http://schemas.openxmlformats.org/officeDocument/2006/relationships/hyperlink" Target="https://www.youtube.com/watch?v=ACKYhlBi98Q" TargetMode="External"/><Relationship Id="rId142" Type="http://schemas.openxmlformats.org/officeDocument/2006/relationships/hyperlink" Target="http://www.youtube.com/watch?v=qUm8TSGtenI" TargetMode="External"/><Relationship Id="rId263" Type="http://schemas.openxmlformats.org/officeDocument/2006/relationships/hyperlink" Target="https://goo.gl/maps/mRDg1F8cdA3Hx6pT8" TargetMode="External"/><Relationship Id="rId141" Type="http://schemas.openxmlformats.org/officeDocument/2006/relationships/hyperlink" Target="http://www.youtube.com/watch?v=_yHnu58tIUg" TargetMode="External"/><Relationship Id="rId262" Type="http://schemas.openxmlformats.org/officeDocument/2006/relationships/hyperlink" Target="https://www.youtube.com/watch?v=fYVouIyOXC0" TargetMode="External"/><Relationship Id="rId140" Type="http://schemas.openxmlformats.org/officeDocument/2006/relationships/hyperlink" Target="http://www.youtube.com/watch?v=_yHnu58tIUg" TargetMode="External"/><Relationship Id="rId261" Type="http://schemas.openxmlformats.org/officeDocument/2006/relationships/hyperlink" Target="https://goo.gl/maps/KChT3JBNxbQNsNh99" TargetMode="External"/><Relationship Id="rId5" Type="http://schemas.openxmlformats.org/officeDocument/2006/relationships/hyperlink" Target="http://www.youtube.com/watch?v=wduZHtRbSkY" TargetMode="External"/><Relationship Id="rId147" Type="http://schemas.openxmlformats.org/officeDocument/2006/relationships/hyperlink" Target="http://www.youtube.com/watch?v=9yh6-d_u-hA" TargetMode="External"/><Relationship Id="rId268" Type="http://schemas.openxmlformats.org/officeDocument/2006/relationships/hyperlink" Target="https://www.youtube.com/watch?v=ACKYhlBi98Q" TargetMode="External"/><Relationship Id="rId6" Type="http://schemas.openxmlformats.org/officeDocument/2006/relationships/hyperlink" Target="http://www.youtube.com/watch?v=wduZHtRbSkY" TargetMode="External"/><Relationship Id="rId146" Type="http://schemas.openxmlformats.org/officeDocument/2006/relationships/hyperlink" Target="http://www.youtube.com/watch?v=9yh6-d_u-hA" TargetMode="External"/><Relationship Id="rId267" Type="http://schemas.openxmlformats.org/officeDocument/2006/relationships/hyperlink" Target="https://goo.gl/maps/w2oiiHV5R18jUEEN8" TargetMode="External"/><Relationship Id="rId7" Type="http://schemas.openxmlformats.org/officeDocument/2006/relationships/hyperlink" Target="http://www.youtube.com/watch?v=wduZHtRbSkY" TargetMode="External"/><Relationship Id="rId145" Type="http://schemas.openxmlformats.org/officeDocument/2006/relationships/hyperlink" Target="http://www.youtube.com/watch?v=9yh6-d_u-hA" TargetMode="External"/><Relationship Id="rId266" Type="http://schemas.openxmlformats.org/officeDocument/2006/relationships/hyperlink" Target="https://www.youtube.com/watch?v=ACKYhlBi98Q" TargetMode="External"/><Relationship Id="rId8" Type="http://schemas.openxmlformats.org/officeDocument/2006/relationships/hyperlink" Target="http://www.youtube.com/watch?v=vzSfnduxNDg" TargetMode="External"/><Relationship Id="rId144" Type="http://schemas.openxmlformats.org/officeDocument/2006/relationships/hyperlink" Target="http://www.youtube.com/watch?v=qUm8TSGtenI" TargetMode="External"/><Relationship Id="rId265" Type="http://schemas.openxmlformats.org/officeDocument/2006/relationships/hyperlink" Target="https://goo.gl/maps/KQrKbiYkUvanXceQ6" TargetMode="External"/><Relationship Id="rId73" Type="http://schemas.openxmlformats.org/officeDocument/2006/relationships/hyperlink" Target="http://www.youtube.com/watch?v=53ivEr2Sd44" TargetMode="External"/><Relationship Id="rId72" Type="http://schemas.openxmlformats.org/officeDocument/2006/relationships/hyperlink" Target="http://www.youtube.com/watch?v=ZsJSW21oXE0" TargetMode="External"/><Relationship Id="rId75" Type="http://schemas.openxmlformats.org/officeDocument/2006/relationships/hyperlink" Target="http://www.youtube.com/watch?v=53ivEr2Sd44" TargetMode="External"/><Relationship Id="rId74" Type="http://schemas.openxmlformats.org/officeDocument/2006/relationships/hyperlink" Target="http://www.youtube.com/watch?v=53ivEr2Sd44" TargetMode="External"/><Relationship Id="rId77" Type="http://schemas.openxmlformats.org/officeDocument/2006/relationships/hyperlink" Target="http://www.youtube.com/watch?v=M6XiFKB7j0w" TargetMode="External"/><Relationship Id="rId260" Type="http://schemas.openxmlformats.org/officeDocument/2006/relationships/hyperlink" Target="https://www.youtube.com/watch?v=fYVouIyOXC0" TargetMode="External"/><Relationship Id="rId76" Type="http://schemas.openxmlformats.org/officeDocument/2006/relationships/hyperlink" Target="http://www.youtube.com/watch?v=M6XiFKB7j0w" TargetMode="External"/><Relationship Id="rId79" Type="http://schemas.openxmlformats.org/officeDocument/2006/relationships/hyperlink" Target="https://goo.gl/maps/B1KPAVyD4Z1V4Atx5" TargetMode="External"/><Relationship Id="rId78" Type="http://schemas.openxmlformats.org/officeDocument/2006/relationships/hyperlink" Target="http://www.youtube.com/watch?v=M6XiFKB7j0w" TargetMode="External"/><Relationship Id="rId71" Type="http://schemas.openxmlformats.org/officeDocument/2006/relationships/hyperlink" Target="http://www.youtube.com/watch?v=ZsJSW21oXE0" TargetMode="External"/><Relationship Id="rId70" Type="http://schemas.openxmlformats.org/officeDocument/2006/relationships/hyperlink" Target="http://www.youtube.com/watch?v=ZsJSW21oXE0" TargetMode="External"/><Relationship Id="rId139" Type="http://schemas.openxmlformats.org/officeDocument/2006/relationships/hyperlink" Target="http://www.youtube.com/watch?v=-JmA5_gHrrM" TargetMode="External"/><Relationship Id="rId138" Type="http://schemas.openxmlformats.org/officeDocument/2006/relationships/hyperlink" Target="http://www.youtube.com/watch?v=-JmA5_gHrrM" TargetMode="External"/><Relationship Id="rId259" Type="http://schemas.openxmlformats.org/officeDocument/2006/relationships/hyperlink" Target="https://goo.gl/maps/hTr226ByvtFRZDLp6" TargetMode="External"/><Relationship Id="rId137" Type="http://schemas.openxmlformats.org/officeDocument/2006/relationships/hyperlink" Target="http://www.youtube.com/watch?v=-JmA5_gHrrM" TargetMode="External"/><Relationship Id="rId258" Type="http://schemas.openxmlformats.org/officeDocument/2006/relationships/hyperlink" Target="https://www.youtube.com/watch?v=fYVouIyOXC0" TargetMode="External"/><Relationship Id="rId132" Type="http://schemas.openxmlformats.org/officeDocument/2006/relationships/hyperlink" Target="http://www.youtube.com/watch?v=NLVQ2qTFFxA" TargetMode="External"/><Relationship Id="rId253" Type="http://schemas.openxmlformats.org/officeDocument/2006/relationships/hyperlink" Target="https://goo.gl/maps/Tj8dsqCGK4nMBpNCA" TargetMode="External"/><Relationship Id="rId131" Type="http://schemas.openxmlformats.org/officeDocument/2006/relationships/hyperlink" Target="http://www.youtube.com/watch?v=NLVQ2qTFFxA" TargetMode="External"/><Relationship Id="rId252" Type="http://schemas.openxmlformats.org/officeDocument/2006/relationships/hyperlink" Target="https://www.youtube.com/watch?v=YuCqyvBlcK8" TargetMode="External"/><Relationship Id="rId130" Type="http://schemas.openxmlformats.org/officeDocument/2006/relationships/hyperlink" Target="http://www.youtube.com/watch?v=VhI2EpAIcm4" TargetMode="External"/><Relationship Id="rId251" Type="http://schemas.openxmlformats.org/officeDocument/2006/relationships/hyperlink" Target="https://goo.gl/maps/Ds5fPJzSARsYECL37" TargetMode="External"/><Relationship Id="rId250" Type="http://schemas.openxmlformats.org/officeDocument/2006/relationships/hyperlink" Target="http://www.youtube.com/watch?v=SzOhHutFVKs" TargetMode="External"/><Relationship Id="rId136" Type="http://schemas.openxmlformats.org/officeDocument/2006/relationships/hyperlink" Target="http://www.youtube.com/watch?v=uFmQmqNAmfo" TargetMode="External"/><Relationship Id="rId257" Type="http://schemas.openxmlformats.org/officeDocument/2006/relationships/hyperlink" Target="https://goo.gl/maps/Lo2FpYRrxyw2VcyV6" TargetMode="External"/><Relationship Id="rId135" Type="http://schemas.openxmlformats.org/officeDocument/2006/relationships/hyperlink" Target="http://www.youtube.com/watch?v=uFmQmqNAmfo" TargetMode="External"/><Relationship Id="rId256" Type="http://schemas.openxmlformats.org/officeDocument/2006/relationships/hyperlink" Target="https://www.youtube.com/watch?v=YuCqyvBlcK8" TargetMode="External"/><Relationship Id="rId134" Type="http://schemas.openxmlformats.org/officeDocument/2006/relationships/hyperlink" Target="http://www.youtube.com/watch?v=NLVQ2qTFFxA" TargetMode="External"/><Relationship Id="rId255" Type="http://schemas.openxmlformats.org/officeDocument/2006/relationships/hyperlink" Target="https://g.page/BreakfastBySaltsCure?share" TargetMode="External"/><Relationship Id="rId133" Type="http://schemas.openxmlformats.org/officeDocument/2006/relationships/hyperlink" Target="http://www.youtube.com/watch?v=NLVQ2qTFFxA" TargetMode="External"/><Relationship Id="rId254" Type="http://schemas.openxmlformats.org/officeDocument/2006/relationships/hyperlink" Target="https://www.youtube.com/watch?v=YuCqyvBlcK8" TargetMode="External"/><Relationship Id="rId62" Type="http://schemas.openxmlformats.org/officeDocument/2006/relationships/hyperlink" Target="http://www.youtube.com/watch?v=B2COl0ui4Sc" TargetMode="External"/><Relationship Id="rId61" Type="http://schemas.openxmlformats.org/officeDocument/2006/relationships/hyperlink" Target="http://www.youtube.com/watch?v=B2COl0ui4Sc" TargetMode="External"/><Relationship Id="rId64" Type="http://schemas.openxmlformats.org/officeDocument/2006/relationships/hyperlink" Target="http://www.youtube.com/watch?v=AAeRZX6ann8" TargetMode="External"/><Relationship Id="rId63" Type="http://schemas.openxmlformats.org/officeDocument/2006/relationships/hyperlink" Target="http://www.youtube.com/watch?v=B2COl0ui4Sc" TargetMode="External"/><Relationship Id="rId66" Type="http://schemas.openxmlformats.org/officeDocument/2006/relationships/hyperlink" Target="http://www.youtube.com/watch?v=AAeRZX6ann8" TargetMode="External"/><Relationship Id="rId172" Type="http://schemas.openxmlformats.org/officeDocument/2006/relationships/hyperlink" Target="https://www.youtube.com/watch?v=Qlswv7eLykc&amp;t=16s" TargetMode="External"/><Relationship Id="rId293" Type="http://schemas.openxmlformats.org/officeDocument/2006/relationships/hyperlink" Target="https://goo.gl/maps/h6nCPzSgaiQUQJft7" TargetMode="External"/><Relationship Id="rId65" Type="http://schemas.openxmlformats.org/officeDocument/2006/relationships/hyperlink" Target="http://www.youtube.com/watch?v=AAeRZX6ann8" TargetMode="External"/><Relationship Id="rId171" Type="http://schemas.openxmlformats.org/officeDocument/2006/relationships/hyperlink" Target="https://goo.gl/maps/6Rw4UjJTn1tFi3Pj8" TargetMode="External"/><Relationship Id="rId292" Type="http://schemas.openxmlformats.org/officeDocument/2006/relationships/hyperlink" Target="https://www.youtube.com/watch?v=r3Ti02CIFas" TargetMode="External"/><Relationship Id="rId68" Type="http://schemas.openxmlformats.org/officeDocument/2006/relationships/hyperlink" Target="http://www.youtube.com/watch?v=iXexmZm3_j8" TargetMode="External"/><Relationship Id="rId170" Type="http://schemas.openxmlformats.org/officeDocument/2006/relationships/hyperlink" Target="https://www.youtube.com/watch?v=Qlswv7eLykc&amp;t=16s" TargetMode="External"/><Relationship Id="rId291" Type="http://schemas.openxmlformats.org/officeDocument/2006/relationships/hyperlink" Target="https://goo.gl/maps/2fJKff2wVpbxYkEY8" TargetMode="External"/><Relationship Id="rId67" Type="http://schemas.openxmlformats.org/officeDocument/2006/relationships/hyperlink" Target="http://www.youtube.com/watch?v=iXexmZm3_j8" TargetMode="External"/><Relationship Id="rId290" Type="http://schemas.openxmlformats.org/officeDocument/2006/relationships/hyperlink" Target="https://www.youtube.com/watch?v=r3Ti02CIFas" TargetMode="External"/><Relationship Id="rId60" Type="http://schemas.openxmlformats.org/officeDocument/2006/relationships/hyperlink" Target="http://www.youtube.com/watch?v=6naWCw5LSPc" TargetMode="External"/><Relationship Id="rId165" Type="http://schemas.openxmlformats.org/officeDocument/2006/relationships/hyperlink" Target="https://goo.gl/maps/JEaRUP7RuokEemReA" TargetMode="External"/><Relationship Id="rId286" Type="http://schemas.openxmlformats.org/officeDocument/2006/relationships/hyperlink" Target="https://www.youtube.com/watch?v=kfe9hmwjOVQ" TargetMode="External"/><Relationship Id="rId69" Type="http://schemas.openxmlformats.org/officeDocument/2006/relationships/hyperlink" Target="http://www.youtube.com/watch?v=iXexmZm3_j8" TargetMode="External"/><Relationship Id="rId164" Type="http://schemas.openxmlformats.org/officeDocument/2006/relationships/hyperlink" Target="http://www.youtube.com/watch?v=5IQoYz9futg" TargetMode="External"/><Relationship Id="rId285" Type="http://schemas.openxmlformats.org/officeDocument/2006/relationships/hyperlink" Target="https://goo.gl/maps/91Umqge2zPR5pKhd7" TargetMode="External"/><Relationship Id="rId163" Type="http://schemas.openxmlformats.org/officeDocument/2006/relationships/hyperlink" Target="https://g.page/sonoratownla?share" TargetMode="External"/><Relationship Id="rId284" Type="http://schemas.openxmlformats.org/officeDocument/2006/relationships/hyperlink" Target="https://www.youtube.com/watch?v=kfe9hmwjOVQ" TargetMode="External"/><Relationship Id="rId162" Type="http://schemas.openxmlformats.org/officeDocument/2006/relationships/hyperlink" Target="http://www.youtube.com/watch?v=5IQoYz9futg" TargetMode="External"/><Relationship Id="rId283" Type="http://schemas.openxmlformats.org/officeDocument/2006/relationships/hyperlink" Target="https://goo.gl/maps/febrD64p1piZ5hXn8" TargetMode="External"/><Relationship Id="rId169" Type="http://schemas.openxmlformats.org/officeDocument/2006/relationships/hyperlink" Target="https://goo.gl/maps/Nkzw6AyRXGSWjxg59" TargetMode="External"/><Relationship Id="rId168" Type="http://schemas.openxmlformats.org/officeDocument/2006/relationships/hyperlink" Target="http://www.youtube.com/watch?v=5IQoYz9futg" TargetMode="External"/><Relationship Id="rId289" Type="http://schemas.openxmlformats.org/officeDocument/2006/relationships/hyperlink" Target="https://goo.gl/maps/49FS6qbutvjMDgsw6" TargetMode="External"/><Relationship Id="rId167" Type="http://schemas.openxmlformats.org/officeDocument/2006/relationships/hyperlink" Target="https://goo.gl/maps/iVKZMvozZxR4DCQG9" TargetMode="External"/><Relationship Id="rId288" Type="http://schemas.openxmlformats.org/officeDocument/2006/relationships/hyperlink" Target="https://www.youtube.com/watch?v=r3Ti02CIFas" TargetMode="External"/><Relationship Id="rId166" Type="http://schemas.openxmlformats.org/officeDocument/2006/relationships/hyperlink" Target="http://www.youtube.com/watch?v=5IQoYz9futg" TargetMode="External"/><Relationship Id="rId287" Type="http://schemas.openxmlformats.org/officeDocument/2006/relationships/hyperlink" Target="https://www.perillala.com/" TargetMode="External"/><Relationship Id="rId51" Type="http://schemas.openxmlformats.org/officeDocument/2006/relationships/hyperlink" Target="http://www.youtube.com/watch?v=cV7sxafvBgo" TargetMode="External"/><Relationship Id="rId50" Type="http://schemas.openxmlformats.org/officeDocument/2006/relationships/hyperlink" Target="http://www.youtube.com/watch?v=oCxJhNLCdAU" TargetMode="External"/><Relationship Id="rId53" Type="http://schemas.openxmlformats.org/officeDocument/2006/relationships/hyperlink" Target="http://www.youtube.com/watch?v=cV7sxafvBgo" TargetMode="External"/><Relationship Id="rId52" Type="http://schemas.openxmlformats.org/officeDocument/2006/relationships/hyperlink" Target="http://www.youtube.com/watch?v=cV7sxafvBgo" TargetMode="External"/><Relationship Id="rId55" Type="http://schemas.openxmlformats.org/officeDocument/2006/relationships/hyperlink" Target="http://www.youtube.com/watch?v=JM1Qgsh2rn0" TargetMode="External"/><Relationship Id="rId161" Type="http://schemas.openxmlformats.org/officeDocument/2006/relationships/hyperlink" Target="https://goo.gl/maps/4UYdDvZ4THofjTC46" TargetMode="External"/><Relationship Id="rId282" Type="http://schemas.openxmlformats.org/officeDocument/2006/relationships/hyperlink" Target="https://www.youtube.com/watch?v=iRyXDCckvuc" TargetMode="External"/><Relationship Id="rId54" Type="http://schemas.openxmlformats.org/officeDocument/2006/relationships/hyperlink" Target="http://www.youtube.com/watch?v=JM1Qgsh2rn0" TargetMode="External"/><Relationship Id="rId160" Type="http://schemas.openxmlformats.org/officeDocument/2006/relationships/hyperlink" Target="http://www.youtube.com/watch?v=5IQoYz9futg" TargetMode="External"/><Relationship Id="rId281" Type="http://schemas.openxmlformats.org/officeDocument/2006/relationships/hyperlink" Target="https://goo.gl/maps/Q2bid3b8xanaM1KW8" TargetMode="External"/><Relationship Id="rId57" Type="http://schemas.openxmlformats.org/officeDocument/2006/relationships/hyperlink" Target="http://www.youtube.com/watch?v=6naWCw5LSPc" TargetMode="External"/><Relationship Id="rId280" Type="http://schemas.openxmlformats.org/officeDocument/2006/relationships/hyperlink" Target="https://www.youtube.com/watch?v=iRyXDCckvuc" TargetMode="External"/><Relationship Id="rId56" Type="http://schemas.openxmlformats.org/officeDocument/2006/relationships/hyperlink" Target="http://www.youtube.com/watch?v=JM1Qgsh2rn0" TargetMode="External"/><Relationship Id="rId159" Type="http://schemas.openxmlformats.org/officeDocument/2006/relationships/hyperlink" Target="https://goo.gl/maps/TDCtzzJ9px7T41eR8" TargetMode="External"/><Relationship Id="rId59" Type="http://schemas.openxmlformats.org/officeDocument/2006/relationships/hyperlink" Target="http://www.youtube.com/watch?v=6naWCw5LSPc" TargetMode="External"/><Relationship Id="rId154" Type="http://schemas.openxmlformats.org/officeDocument/2006/relationships/hyperlink" Target="http://www.youtube.com/watch?v=nXu2psXhZ_8" TargetMode="External"/><Relationship Id="rId275" Type="http://schemas.openxmlformats.org/officeDocument/2006/relationships/hyperlink" Target="https://g.page/NoshPitDetroit?share" TargetMode="External"/><Relationship Id="rId58" Type="http://schemas.openxmlformats.org/officeDocument/2006/relationships/hyperlink" Target="https://goo.gl/maps/27fZR8jhiRuRgkmM7" TargetMode="External"/><Relationship Id="rId153" Type="http://schemas.openxmlformats.org/officeDocument/2006/relationships/hyperlink" Target="http://www.youtube.com/watch?v=XmqLrbidKGU" TargetMode="External"/><Relationship Id="rId274" Type="http://schemas.openxmlformats.org/officeDocument/2006/relationships/hyperlink" Target="https://www.youtube.com/watch?v=f8BLlSvqrVc" TargetMode="External"/><Relationship Id="rId152" Type="http://schemas.openxmlformats.org/officeDocument/2006/relationships/hyperlink" Target="http://www.youtube.com/watch?v=hz-RVFwgY1k" TargetMode="External"/><Relationship Id="rId273" Type="http://schemas.openxmlformats.org/officeDocument/2006/relationships/hyperlink" Target="https://goo.gl/maps/tN94eydGna8hXhUj7" TargetMode="External"/><Relationship Id="rId151" Type="http://schemas.openxmlformats.org/officeDocument/2006/relationships/hyperlink" Target="http://www.youtube.com/watch?v=FLqvTE1Eqfg" TargetMode="External"/><Relationship Id="rId272" Type="http://schemas.openxmlformats.org/officeDocument/2006/relationships/hyperlink" Target="https://www.youtube.com/watch?v=f8BLlSvqrVc" TargetMode="External"/><Relationship Id="rId158" Type="http://schemas.openxmlformats.org/officeDocument/2006/relationships/hyperlink" Target="http://www.youtube.com/watch?v=UZF5m70Pgyc" TargetMode="External"/><Relationship Id="rId279" Type="http://schemas.openxmlformats.org/officeDocument/2006/relationships/hyperlink" Target="https://goo.gl/maps/7Tb4APMPiZhgLHCs9" TargetMode="External"/><Relationship Id="rId157" Type="http://schemas.openxmlformats.org/officeDocument/2006/relationships/hyperlink" Target="https://goo.gl/maps/2JzkkNCbdiVpTPPh8" TargetMode="External"/><Relationship Id="rId278" Type="http://schemas.openxmlformats.org/officeDocument/2006/relationships/hyperlink" Target="https://www.youtube.com/watch?v=iRyXDCckvuc" TargetMode="External"/><Relationship Id="rId156" Type="http://schemas.openxmlformats.org/officeDocument/2006/relationships/hyperlink" Target="http://www.youtube.com/watch?v=_GGsPCZUXrw" TargetMode="External"/><Relationship Id="rId277" Type="http://schemas.openxmlformats.org/officeDocument/2006/relationships/hyperlink" Target="https://goo.gl/maps/twX4WVuSB6rLXoBm7" TargetMode="External"/><Relationship Id="rId155" Type="http://schemas.openxmlformats.org/officeDocument/2006/relationships/hyperlink" Target="http://www.youtube.com/watch?v=nXu2psXhZ_8" TargetMode="External"/><Relationship Id="rId276" Type="http://schemas.openxmlformats.org/officeDocument/2006/relationships/hyperlink" Target="https://www.youtube.com/watch?v=f8BLlSvqrVc" TargetMode="External"/><Relationship Id="rId107" Type="http://schemas.openxmlformats.org/officeDocument/2006/relationships/hyperlink" Target="http://www.youtube.com/watch?v=oipLbJoV9pM" TargetMode="External"/><Relationship Id="rId228" Type="http://schemas.openxmlformats.org/officeDocument/2006/relationships/hyperlink" Target="http://www.youtube.com/watch?v=Yql-9LHorTo" TargetMode="External"/><Relationship Id="rId349" Type="http://schemas.openxmlformats.org/officeDocument/2006/relationships/hyperlink" Target="https://maps.app.goo.gl/N4iFk9Qn6Z3bDNLo8" TargetMode="External"/><Relationship Id="rId106" Type="http://schemas.openxmlformats.org/officeDocument/2006/relationships/hyperlink" Target="http://www.youtube.com/watch?v=bc5BnTYRgx8" TargetMode="External"/><Relationship Id="rId227" Type="http://schemas.openxmlformats.org/officeDocument/2006/relationships/hyperlink" Target="https://goo.gl/maps/JyLUN9pQaE4ndLxSA" TargetMode="External"/><Relationship Id="rId348" Type="http://schemas.openxmlformats.org/officeDocument/2006/relationships/hyperlink" Target="https://maps.app.goo.gl/N4iFk9Qn6Z3bDNLo8" TargetMode="External"/><Relationship Id="rId105" Type="http://schemas.openxmlformats.org/officeDocument/2006/relationships/hyperlink" Target="http://www.youtube.com/watch?v=bc5BnTYRgx8" TargetMode="External"/><Relationship Id="rId226" Type="http://schemas.openxmlformats.org/officeDocument/2006/relationships/hyperlink" Target="http://www.youtube.com/watch?v=Yql-9LHorTo" TargetMode="External"/><Relationship Id="rId347" Type="http://schemas.openxmlformats.org/officeDocument/2006/relationships/hyperlink" Target="https://youtu.be/VS0oPwb3sag?si=QMvL-mqZ-Hs78zQS&amp;t=830" TargetMode="External"/><Relationship Id="rId104" Type="http://schemas.openxmlformats.org/officeDocument/2006/relationships/hyperlink" Target="http://www.youtube.com/watch?v=bc5BnTYRgx8" TargetMode="External"/><Relationship Id="rId225" Type="http://schemas.openxmlformats.org/officeDocument/2006/relationships/hyperlink" Target="https://goo.gl/maps/u8cbZ9L74KNkAZMJ6" TargetMode="External"/><Relationship Id="rId346" Type="http://schemas.openxmlformats.org/officeDocument/2006/relationships/hyperlink" Target="https://maps.app.goo.gl/5j1L6Zw1uGqVKL8DA" TargetMode="External"/><Relationship Id="rId109" Type="http://schemas.openxmlformats.org/officeDocument/2006/relationships/hyperlink" Target="http://www.youtube.com/watch?v=oipLbJoV9pM" TargetMode="External"/><Relationship Id="rId108" Type="http://schemas.openxmlformats.org/officeDocument/2006/relationships/hyperlink" Target="http://www.youtube.com/watch?v=oipLbJoV9pM" TargetMode="External"/><Relationship Id="rId229" Type="http://schemas.openxmlformats.org/officeDocument/2006/relationships/hyperlink" Target="https://goo.gl/maps/YkywNYfYTxec8aWd7" TargetMode="External"/><Relationship Id="rId220" Type="http://schemas.openxmlformats.org/officeDocument/2006/relationships/hyperlink" Target="http://www.youtube.com/watch?v=JCHttVEG_Lk" TargetMode="External"/><Relationship Id="rId341" Type="http://schemas.openxmlformats.org/officeDocument/2006/relationships/hyperlink" Target="https://youtu.be/VS0oPwb3sag?si=3fLqAVn6rKOTeBIg&amp;t=360" TargetMode="External"/><Relationship Id="rId340" Type="http://schemas.openxmlformats.org/officeDocument/2006/relationships/hyperlink" Target="https://maps.app.goo.gl/TErkjmnLVNvgoDef8" TargetMode="External"/><Relationship Id="rId103" Type="http://schemas.openxmlformats.org/officeDocument/2006/relationships/hyperlink" Target="http://www.youtube.com/watch?v=rdeQT7KkqM8" TargetMode="External"/><Relationship Id="rId224" Type="http://schemas.openxmlformats.org/officeDocument/2006/relationships/hyperlink" Target="http://www.youtube.com/watch?v=JCHttVEG_Lk" TargetMode="External"/><Relationship Id="rId345" Type="http://schemas.openxmlformats.org/officeDocument/2006/relationships/hyperlink" Target="https://maps.app.goo.gl/5j1L6Zw1uGqVKL8DA" TargetMode="External"/><Relationship Id="rId102" Type="http://schemas.openxmlformats.org/officeDocument/2006/relationships/hyperlink" Target="http://www.youtube.com/watch?v=rdeQT7KkqM8" TargetMode="External"/><Relationship Id="rId223" Type="http://schemas.openxmlformats.org/officeDocument/2006/relationships/hyperlink" Target="https://goo.gl/maps/9MEZcnnk5A3gAMsB9" TargetMode="External"/><Relationship Id="rId344" Type="http://schemas.openxmlformats.org/officeDocument/2006/relationships/hyperlink" Target="https://youtu.be/VS0oPwb3sag?si=_WfWIPvEbdNutCWX&amp;t=758" TargetMode="External"/><Relationship Id="rId101" Type="http://schemas.openxmlformats.org/officeDocument/2006/relationships/hyperlink" Target="http://www.youtube.com/watch?v=rdeQT7KkqM8" TargetMode="External"/><Relationship Id="rId222" Type="http://schemas.openxmlformats.org/officeDocument/2006/relationships/hyperlink" Target="http://www.youtube.com/watch?v=JCHttVEG_Lk" TargetMode="External"/><Relationship Id="rId343" Type="http://schemas.openxmlformats.org/officeDocument/2006/relationships/hyperlink" Target="https://maps.app.goo.gl/PuwEbQUaJZJoEM5W6" TargetMode="External"/><Relationship Id="rId100" Type="http://schemas.openxmlformats.org/officeDocument/2006/relationships/hyperlink" Target="http://www.youtube.com/watch?v=dT5ALH3ICTc" TargetMode="External"/><Relationship Id="rId221" Type="http://schemas.openxmlformats.org/officeDocument/2006/relationships/hyperlink" Target="https://g.page/yanxianglou?share" TargetMode="External"/><Relationship Id="rId342" Type="http://schemas.openxmlformats.org/officeDocument/2006/relationships/hyperlink" Target="https://maps.app.goo.gl/PuwEbQUaJZJoEM5W6" TargetMode="External"/><Relationship Id="rId217" Type="http://schemas.openxmlformats.org/officeDocument/2006/relationships/hyperlink" Target="https://goo.gl/maps/bJbVLTKwvZfbnRim7" TargetMode="External"/><Relationship Id="rId338" Type="http://schemas.openxmlformats.org/officeDocument/2006/relationships/hyperlink" Target="https://maps.app.goo.gl/95BaFMeTzz9aWRq97" TargetMode="External"/><Relationship Id="rId216" Type="http://schemas.openxmlformats.org/officeDocument/2006/relationships/hyperlink" Target="http://www.youtube.com/watch?v=JCHttVEG_Lk" TargetMode="External"/><Relationship Id="rId337" Type="http://schemas.openxmlformats.org/officeDocument/2006/relationships/hyperlink" Target="https://maps.app.goo.gl/95BaFMeTzz9aWRq97" TargetMode="External"/><Relationship Id="rId215" Type="http://schemas.openxmlformats.org/officeDocument/2006/relationships/hyperlink" Target="https://goo.gl/maps/cjn5JPkdPuv3Ue1FA" TargetMode="External"/><Relationship Id="rId336" Type="http://schemas.openxmlformats.org/officeDocument/2006/relationships/hyperlink" Target="https://youtu.be/Bhos_P4a-JQ?t=644" TargetMode="External"/><Relationship Id="rId214" Type="http://schemas.openxmlformats.org/officeDocument/2006/relationships/hyperlink" Target="http://www.youtube.com/watch?v=xscOXwsaGLQ" TargetMode="External"/><Relationship Id="rId335" Type="http://schemas.openxmlformats.org/officeDocument/2006/relationships/hyperlink" Target="https://goo.gl/maps/PxgPBCFfAg81xV4G9" TargetMode="External"/><Relationship Id="rId219" Type="http://schemas.openxmlformats.org/officeDocument/2006/relationships/hyperlink" Target="https://goo.gl/maps/GFojCTN2rn7mYzUbA" TargetMode="External"/><Relationship Id="rId218" Type="http://schemas.openxmlformats.org/officeDocument/2006/relationships/hyperlink" Target="http://www.youtube.com/watch?v=JCHttVEG_Lk" TargetMode="External"/><Relationship Id="rId339" Type="http://schemas.openxmlformats.org/officeDocument/2006/relationships/hyperlink" Target="https://youtu.be/VS0oPwb3sag?si=YpXWDO6OLGcGStzs&amp;t=38" TargetMode="External"/><Relationship Id="rId330" Type="http://schemas.openxmlformats.org/officeDocument/2006/relationships/hyperlink" Target="https://youtu.be/Bhos_P4a-JQ?t=40" TargetMode="External"/><Relationship Id="rId213" Type="http://schemas.openxmlformats.org/officeDocument/2006/relationships/hyperlink" Target="https://goo.gl/maps/X4xrdUfQAbMeu4bc9" TargetMode="External"/><Relationship Id="rId334" Type="http://schemas.openxmlformats.org/officeDocument/2006/relationships/hyperlink" Target="https://goo.gl/maps/PxgPBCFfAg81xV4G9" TargetMode="External"/><Relationship Id="rId212" Type="http://schemas.openxmlformats.org/officeDocument/2006/relationships/hyperlink" Target="http://www.youtube.com/watch?v=xscOXwsaGLQ" TargetMode="External"/><Relationship Id="rId333" Type="http://schemas.openxmlformats.org/officeDocument/2006/relationships/hyperlink" Target="https://youtu.be/Bhos_P4a-JQ?t=346" TargetMode="External"/><Relationship Id="rId211" Type="http://schemas.openxmlformats.org/officeDocument/2006/relationships/hyperlink" Target="https://goo.gl/maps/Tu4uNZikCg1VcuN26" TargetMode="External"/><Relationship Id="rId332" Type="http://schemas.openxmlformats.org/officeDocument/2006/relationships/hyperlink" Target="https://goo.gl/maps/khknsi3jFmEQbDN58" TargetMode="External"/><Relationship Id="rId210" Type="http://schemas.openxmlformats.org/officeDocument/2006/relationships/hyperlink" Target="http://www.youtube.com/watch?v=xscOXwsaGLQ" TargetMode="External"/><Relationship Id="rId331" Type="http://schemas.openxmlformats.org/officeDocument/2006/relationships/hyperlink" Target="https://goo.gl/maps/khknsi3jFmEQbDN58" TargetMode="External"/><Relationship Id="rId129" Type="http://schemas.openxmlformats.org/officeDocument/2006/relationships/hyperlink" Target="http://www.youtube.com/watch?v=VhI2EpAIcm4" TargetMode="External"/><Relationship Id="rId128" Type="http://schemas.openxmlformats.org/officeDocument/2006/relationships/hyperlink" Target="http://www.youtube.com/watch?v=VhI2EpAIcm4" TargetMode="External"/><Relationship Id="rId249" Type="http://schemas.openxmlformats.org/officeDocument/2006/relationships/hyperlink" Target="https://goo.gl/maps/2NrYpe1ZBiFfgNFV8" TargetMode="External"/><Relationship Id="rId127" Type="http://schemas.openxmlformats.org/officeDocument/2006/relationships/hyperlink" Target="http://www.youtube.com/watch?v=iN8zmmCRqUA" TargetMode="External"/><Relationship Id="rId248" Type="http://schemas.openxmlformats.org/officeDocument/2006/relationships/hyperlink" Target="http://www.youtube.com/watch?v=xj-6hC5GFfI" TargetMode="External"/><Relationship Id="rId126" Type="http://schemas.openxmlformats.org/officeDocument/2006/relationships/hyperlink" Target="http://www.youtube.com/watch?v=iN8zmmCRqUA" TargetMode="External"/><Relationship Id="rId247" Type="http://schemas.openxmlformats.org/officeDocument/2006/relationships/hyperlink" Target="https://g.page/americanbeautyla?share" TargetMode="External"/><Relationship Id="rId121" Type="http://schemas.openxmlformats.org/officeDocument/2006/relationships/hyperlink" Target="http://www.youtube.com/watch?v=x3zQELlrY6A" TargetMode="External"/><Relationship Id="rId242" Type="http://schemas.openxmlformats.org/officeDocument/2006/relationships/hyperlink" Target="http://www.youtube.com/watch?v=xj-6hC5GFfI" TargetMode="External"/><Relationship Id="rId120" Type="http://schemas.openxmlformats.org/officeDocument/2006/relationships/hyperlink" Target="http://www.youtube.com/watch?v=x3zQELlrY6A" TargetMode="External"/><Relationship Id="rId241" Type="http://schemas.openxmlformats.org/officeDocument/2006/relationships/hyperlink" Target="https://goo.gl/maps/RFdjx4JZzpi6sgWQ7" TargetMode="External"/><Relationship Id="rId240" Type="http://schemas.openxmlformats.org/officeDocument/2006/relationships/hyperlink" Target="http://www.youtube.com/watch?v=FkIQMZaBTBo" TargetMode="External"/><Relationship Id="rId125" Type="http://schemas.openxmlformats.org/officeDocument/2006/relationships/hyperlink" Target="http://www.youtube.com/watch?v=iN8zmmCRqUA" TargetMode="External"/><Relationship Id="rId246" Type="http://schemas.openxmlformats.org/officeDocument/2006/relationships/hyperlink" Target="http://www.youtube.com/watch?v=xj-6hC5GFfI" TargetMode="External"/><Relationship Id="rId124" Type="http://schemas.openxmlformats.org/officeDocument/2006/relationships/hyperlink" Target="http://www.youtube.com/watch?v=3nPEkZv0-OU" TargetMode="External"/><Relationship Id="rId245" Type="http://schemas.openxmlformats.org/officeDocument/2006/relationships/hyperlink" Target="https://goo.gl/maps/jEiNdWwry2n112ps9" TargetMode="External"/><Relationship Id="rId123" Type="http://schemas.openxmlformats.org/officeDocument/2006/relationships/hyperlink" Target="http://www.youtube.com/watch?v=3nPEkZv0-OU" TargetMode="External"/><Relationship Id="rId244" Type="http://schemas.openxmlformats.org/officeDocument/2006/relationships/hyperlink" Target="http://www.youtube.com/watch?v=xj-6hC5GFfI" TargetMode="External"/><Relationship Id="rId122" Type="http://schemas.openxmlformats.org/officeDocument/2006/relationships/hyperlink" Target="http://www.youtube.com/watch?v=3nPEkZv0-OU" TargetMode="External"/><Relationship Id="rId243" Type="http://schemas.openxmlformats.org/officeDocument/2006/relationships/hyperlink" Target="https://g.page/Pikinico?share" TargetMode="External"/><Relationship Id="rId95" Type="http://schemas.openxmlformats.org/officeDocument/2006/relationships/hyperlink" Target="http://www.youtube.com/watch?v=se9E-qvPJSg" TargetMode="External"/><Relationship Id="rId94" Type="http://schemas.openxmlformats.org/officeDocument/2006/relationships/hyperlink" Target="http://www.youtube.com/watch?v=se9E-qvPJSg" TargetMode="External"/><Relationship Id="rId97" Type="http://schemas.openxmlformats.org/officeDocument/2006/relationships/hyperlink" Target="https://goo.gl/maps/sW5k1TwM84Bhdv2ZA" TargetMode="External"/><Relationship Id="rId96" Type="http://schemas.openxmlformats.org/officeDocument/2006/relationships/hyperlink" Target="http://www.youtube.com/watch?v=se9E-qvPJSg" TargetMode="External"/><Relationship Id="rId99" Type="http://schemas.openxmlformats.org/officeDocument/2006/relationships/hyperlink" Target="http://www.youtube.com/watch?v=dT5ALH3ICTc" TargetMode="External"/><Relationship Id="rId98" Type="http://schemas.openxmlformats.org/officeDocument/2006/relationships/hyperlink" Target="http://www.youtube.com/watch?v=dT5ALH3ICTc" TargetMode="External"/><Relationship Id="rId91" Type="http://schemas.openxmlformats.org/officeDocument/2006/relationships/hyperlink" Target="http://www.youtube.com/watch?v=uDzl5PG51uI" TargetMode="External"/><Relationship Id="rId90" Type="http://schemas.openxmlformats.org/officeDocument/2006/relationships/hyperlink" Target="http://www.youtube.com/watch?v=uDzl5PG51uI" TargetMode="External"/><Relationship Id="rId93" Type="http://schemas.openxmlformats.org/officeDocument/2006/relationships/hyperlink" Target="http://www.youtube.com/watch?v=fjSKDTLPmE8" TargetMode="External"/><Relationship Id="rId92" Type="http://schemas.openxmlformats.org/officeDocument/2006/relationships/hyperlink" Target="http://www.youtube.com/watch?v=FGAfZ-PTaNU" TargetMode="External"/><Relationship Id="rId118" Type="http://schemas.openxmlformats.org/officeDocument/2006/relationships/hyperlink" Target="http://www.youtube.com/watch?v=IxD2NbXzgpQ" TargetMode="External"/><Relationship Id="rId239" Type="http://schemas.openxmlformats.org/officeDocument/2006/relationships/hyperlink" Target="https://g.page/laoxiernoodle?share" TargetMode="External"/><Relationship Id="rId117" Type="http://schemas.openxmlformats.org/officeDocument/2006/relationships/hyperlink" Target="http://www.youtube.com/watch?v=IxD2NbXzgpQ" TargetMode="External"/><Relationship Id="rId238" Type="http://schemas.openxmlformats.org/officeDocument/2006/relationships/hyperlink" Target="http://www.youtube.com/watch?v=FkIQMZaBTBo" TargetMode="External"/><Relationship Id="rId116" Type="http://schemas.openxmlformats.org/officeDocument/2006/relationships/hyperlink" Target="http://www.youtube.com/watch?v=IxD2NbXzgpQ" TargetMode="External"/><Relationship Id="rId237" Type="http://schemas.openxmlformats.org/officeDocument/2006/relationships/hyperlink" Target="https://g.page/ladolans?share" TargetMode="External"/><Relationship Id="rId115" Type="http://schemas.openxmlformats.org/officeDocument/2006/relationships/hyperlink" Target="http://www.youtube.com/watch?v=QpyHrQYeoIE" TargetMode="External"/><Relationship Id="rId236" Type="http://schemas.openxmlformats.org/officeDocument/2006/relationships/hyperlink" Target="http://www.youtube.com/watch?v=FkIQMZaBTBo" TargetMode="External"/><Relationship Id="rId119" Type="http://schemas.openxmlformats.org/officeDocument/2006/relationships/hyperlink" Target="http://www.youtube.com/watch?v=x3zQELlrY6A" TargetMode="External"/><Relationship Id="rId110" Type="http://schemas.openxmlformats.org/officeDocument/2006/relationships/hyperlink" Target="http://www.youtube.com/watch?v=tqPub3p3k5E" TargetMode="External"/><Relationship Id="rId231" Type="http://schemas.openxmlformats.org/officeDocument/2006/relationships/hyperlink" Target="https://g.page/tesserestaurant?share" TargetMode="External"/><Relationship Id="rId230" Type="http://schemas.openxmlformats.org/officeDocument/2006/relationships/hyperlink" Target="http://www.youtube.com/watch?v=Yql-9LHorTo" TargetMode="External"/><Relationship Id="rId351" Type="http://schemas.openxmlformats.org/officeDocument/2006/relationships/drawing" Target="../drawings/drawing1.xml"/><Relationship Id="rId350" Type="http://schemas.openxmlformats.org/officeDocument/2006/relationships/hyperlink" Target="https://youtu.be/VS0oPwb3sag?si=B7BiU4UJC_HecIUa&amp;t=1200" TargetMode="External"/><Relationship Id="rId114" Type="http://schemas.openxmlformats.org/officeDocument/2006/relationships/hyperlink" Target="http://www.youtube.com/watch?v=QpyHrQYeoIE" TargetMode="External"/><Relationship Id="rId235" Type="http://schemas.openxmlformats.org/officeDocument/2006/relationships/hyperlink" Target="https://g.page/CrustaceanBH?share" TargetMode="External"/><Relationship Id="rId113" Type="http://schemas.openxmlformats.org/officeDocument/2006/relationships/hyperlink" Target="http://www.youtube.com/watch?v=QpyHrQYeoIE" TargetMode="External"/><Relationship Id="rId234" Type="http://schemas.openxmlformats.org/officeDocument/2006/relationships/hyperlink" Target="http://www.youtube.com/watch?v=FkIQMZaBTBo" TargetMode="External"/><Relationship Id="rId112" Type="http://schemas.openxmlformats.org/officeDocument/2006/relationships/hyperlink" Target="http://www.youtube.com/watch?v=tqPub3p3k5E" TargetMode="External"/><Relationship Id="rId233" Type="http://schemas.openxmlformats.org/officeDocument/2006/relationships/hyperlink" Target="https://goo.gl/maps/jqz2MKeW7aPBCuLt5" TargetMode="External"/><Relationship Id="rId111" Type="http://schemas.openxmlformats.org/officeDocument/2006/relationships/hyperlink" Target="http://www.youtube.com/watch?v=tqPub3p3k5E" TargetMode="External"/><Relationship Id="rId232" Type="http://schemas.openxmlformats.org/officeDocument/2006/relationships/hyperlink" Target="http://www.youtube.com/watch?v=Yql-9LHorTo" TargetMode="External"/><Relationship Id="rId305" Type="http://schemas.openxmlformats.org/officeDocument/2006/relationships/hyperlink" Target="https://www.citizenpublicmarket.com/" TargetMode="External"/><Relationship Id="rId304" Type="http://schemas.openxmlformats.org/officeDocument/2006/relationships/hyperlink" Target="https://youtu.be/CmI2dXo14sY?t=309" TargetMode="External"/><Relationship Id="rId303" Type="http://schemas.openxmlformats.org/officeDocument/2006/relationships/hyperlink" Target="https://goo.gl/maps/qxFinmjhoh5hbs739" TargetMode="External"/><Relationship Id="rId302" Type="http://schemas.openxmlformats.org/officeDocument/2006/relationships/hyperlink" Target="https://goo.gl/maps/qxFinmjhoh5hbs739" TargetMode="External"/><Relationship Id="rId309" Type="http://schemas.openxmlformats.org/officeDocument/2006/relationships/hyperlink" Target="https://goo.gl/maps/E4aaQXMmkojjqcuXA" TargetMode="External"/><Relationship Id="rId308" Type="http://schemas.openxmlformats.org/officeDocument/2006/relationships/hyperlink" Target="https://youtu.be/CmI2dXo14sY?t=577" TargetMode="External"/><Relationship Id="rId307" Type="http://schemas.openxmlformats.org/officeDocument/2006/relationships/hyperlink" Target="https://goo.gl/maps/RPQ51qQnoydGnnvR9" TargetMode="External"/><Relationship Id="rId306" Type="http://schemas.openxmlformats.org/officeDocument/2006/relationships/hyperlink" Target="https://goo.gl/maps/RPQ51qQnoydGnnvR9" TargetMode="External"/><Relationship Id="rId301" Type="http://schemas.openxmlformats.org/officeDocument/2006/relationships/hyperlink" Target="https://youtu.be/CmI2dXo14sY?t=79" TargetMode="External"/><Relationship Id="rId300" Type="http://schemas.openxmlformats.org/officeDocument/2006/relationships/hyperlink" Target="https://g.page/gishbac?share" TargetMode="External"/><Relationship Id="rId206" Type="http://schemas.openxmlformats.org/officeDocument/2006/relationships/hyperlink" Target="http://www.youtube.com/watch?v=w3XS900kg1U" TargetMode="External"/><Relationship Id="rId327" Type="http://schemas.openxmlformats.org/officeDocument/2006/relationships/hyperlink" Target="https://youtu.be/rRSOt9SpBMI?t=786" TargetMode="External"/><Relationship Id="rId205" Type="http://schemas.openxmlformats.org/officeDocument/2006/relationships/hyperlink" Target="https://goo.gl/maps/aVWCHhZP2W8nxKnN6" TargetMode="External"/><Relationship Id="rId326" Type="http://schemas.openxmlformats.org/officeDocument/2006/relationships/hyperlink" Target="https://goo.gl/maps/99q2mZpg3BdD3K2W9" TargetMode="External"/><Relationship Id="rId204" Type="http://schemas.openxmlformats.org/officeDocument/2006/relationships/hyperlink" Target="http://www.youtube.com/watch?v=w3XS900kg1U" TargetMode="External"/><Relationship Id="rId325" Type="http://schemas.openxmlformats.org/officeDocument/2006/relationships/hyperlink" Target="https://goo.gl/maps/99q2mZpg3BdD3K2W9" TargetMode="External"/><Relationship Id="rId203" Type="http://schemas.openxmlformats.org/officeDocument/2006/relationships/hyperlink" Target="https://goo.gl/maps/4kvLMWPShpVrWbBm8" TargetMode="External"/><Relationship Id="rId324" Type="http://schemas.openxmlformats.org/officeDocument/2006/relationships/hyperlink" Target="https://youtu.be/rRSOt9SpBMI?t=320" TargetMode="External"/><Relationship Id="rId209" Type="http://schemas.openxmlformats.org/officeDocument/2006/relationships/hyperlink" Target="https://goo.gl/maps/jRfUDDUvass5LY8j7" TargetMode="External"/><Relationship Id="rId208" Type="http://schemas.openxmlformats.org/officeDocument/2006/relationships/hyperlink" Target="http://www.youtube.com/watch?v=xscOXwsaGLQ" TargetMode="External"/><Relationship Id="rId329" Type="http://schemas.openxmlformats.org/officeDocument/2006/relationships/hyperlink" Target="https://g.page/CochinitoLA?share" TargetMode="External"/><Relationship Id="rId207" Type="http://schemas.openxmlformats.org/officeDocument/2006/relationships/hyperlink" Target="https://goo.gl/maps/nrpxHWaArpVnRXJ29" TargetMode="External"/><Relationship Id="rId328" Type="http://schemas.openxmlformats.org/officeDocument/2006/relationships/hyperlink" Target="https://g.page/CochinitoLA?share" TargetMode="External"/><Relationship Id="rId202" Type="http://schemas.openxmlformats.org/officeDocument/2006/relationships/hyperlink" Target="http://www.youtube.com/watch?v=w3XS900kg1U" TargetMode="External"/><Relationship Id="rId323" Type="http://schemas.openxmlformats.org/officeDocument/2006/relationships/hyperlink" Target="https://goo.gl/maps/dmiNKkbGVFzbfqJF8" TargetMode="External"/><Relationship Id="rId201" Type="http://schemas.openxmlformats.org/officeDocument/2006/relationships/hyperlink" Target="https://goo.gl/maps/cStwaRk4Zj4YvmaT9" TargetMode="External"/><Relationship Id="rId322" Type="http://schemas.openxmlformats.org/officeDocument/2006/relationships/hyperlink" Target="https://goo.gl/maps/dmiNKkbGVFzbfqJF8" TargetMode="External"/><Relationship Id="rId200" Type="http://schemas.openxmlformats.org/officeDocument/2006/relationships/hyperlink" Target="http://www.youtube.com/watch?v=w3XS900kg1U" TargetMode="External"/><Relationship Id="rId321" Type="http://schemas.openxmlformats.org/officeDocument/2006/relationships/hyperlink" Target="https://youtu.be/rRSOt9SpBMI?t=55" TargetMode="External"/><Relationship Id="rId320" Type="http://schemas.openxmlformats.org/officeDocument/2006/relationships/hyperlink" Target="https://goo.gl/maps/tgbKTz1fa8i84SwU7" TargetMode="External"/><Relationship Id="rId316" Type="http://schemas.openxmlformats.org/officeDocument/2006/relationships/hyperlink" Target="https://goo.gl/maps/YGF9FUMDHoBpzjWY8" TargetMode="External"/><Relationship Id="rId315" Type="http://schemas.openxmlformats.org/officeDocument/2006/relationships/hyperlink" Target="http://www.youtube.com/watch?v=SzOhHutFVKs" TargetMode="External"/><Relationship Id="rId314" Type="http://schemas.openxmlformats.org/officeDocument/2006/relationships/hyperlink" Target="https://goo.gl/maps/ueXHhdkbLKPcKdcu9" TargetMode="External"/><Relationship Id="rId313" Type="http://schemas.openxmlformats.org/officeDocument/2006/relationships/hyperlink" Target="http://www.youtube.com/watch?v=xscOXwsaGLQ" TargetMode="External"/><Relationship Id="rId319" Type="http://schemas.openxmlformats.org/officeDocument/2006/relationships/hyperlink" Target="https://goo.gl/maps/tgbKTz1fa8i84SwU7" TargetMode="External"/><Relationship Id="rId318" Type="http://schemas.openxmlformats.org/officeDocument/2006/relationships/hyperlink" Target="http://www.youtube.com/watch?v=uFmQmqNAmfo" TargetMode="External"/><Relationship Id="rId317" Type="http://schemas.openxmlformats.org/officeDocument/2006/relationships/hyperlink" Target="http://www.youtube.com/watch?v=YqFen-4pUvw" TargetMode="External"/><Relationship Id="rId312" Type="http://schemas.openxmlformats.org/officeDocument/2006/relationships/hyperlink" Target="https://g.page/TainanGNM?share" TargetMode="External"/><Relationship Id="rId311" Type="http://schemas.openxmlformats.org/officeDocument/2006/relationships/hyperlink" Target="https://youtu.be/CmI2dXo14sY?t=687" TargetMode="External"/><Relationship Id="rId310" Type="http://schemas.openxmlformats.org/officeDocument/2006/relationships/hyperlink" Target="https://goo.gl/maps/E4aaQXMmkojjqcuXA"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goo.gl/maps/6Rw4UjJTn1tFi3Pj8" TargetMode="External"/><Relationship Id="rId194" Type="http://schemas.openxmlformats.org/officeDocument/2006/relationships/hyperlink" Target="https://goo.gl/maps/k4wggZYoziWZ1NoW8" TargetMode="External"/><Relationship Id="rId193" Type="http://schemas.openxmlformats.org/officeDocument/2006/relationships/hyperlink" Target="https://www.youtube.com/watch?v=Qlswv7eLykc&amp;t=16s" TargetMode="External"/><Relationship Id="rId192" Type="http://schemas.openxmlformats.org/officeDocument/2006/relationships/hyperlink" Target="https://goo.gl/maps/6Rw4UjJTn1tFi3Pj8" TargetMode="External"/><Relationship Id="rId191" Type="http://schemas.openxmlformats.org/officeDocument/2006/relationships/hyperlink" Target="https://www.youtube.com/watch?v=Qlswv7eLykc&amp;t=16s" TargetMode="External"/><Relationship Id="rId187" Type="http://schemas.openxmlformats.org/officeDocument/2006/relationships/hyperlink" Target="https://www.youtube.com/watch?v=Qlswv7eLykc&amp;t=16s" TargetMode="External"/><Relationship Id="rId186" Type="http://schemas.openxmlformats.org/officeDocument/2006/relationships/hyperlink" Target="https://goo.gl/maps/Nkzw6AyRXGSWjxg59" TargetMode="External"/><Relationship Id="rId185" Type="http://schemas.openxmlformats.org/officeDocument/2006/relationships/hyperlink" Target="http://www.youtube.com/watch?v=5IQoYz9futg" TargetMode="External"/><Relationship Id="rId184" Type="http://schemas.openxmlformats.org/officeDocument/2006/relationships/hyperlink" Target="https://goo.gl/maps/iVKZMvozZxR4DCQG9" TargetMode="External"/><Relationship Id="rId189" Type="http://schemas.openxmlformats.org/officeDocument/2006/relationships/hyperlink" Target="https://www.youtube.com/watch?v=Qlswv7eLykc&amp;t=16s" TargetMode="External"/><Relationship Id="rId188" Type="http://schemas.openxmlformats.org/officeDocument/2006/relationships/hyperlink" Target="https://goo.gl/maps/6Rw4UjJTn1tFi3Pj8" TargetMode="External"/><Relationship Id="rId183" Type="http://schemas.openxmlformats.org/officeDocument/2006/relationships/hyperlink" Target="http://www.youtube.com/watch?v=5IQoYz9futg" TargetMode="External"/><Relationship Id="rId182" Type="http://schemas.openxmlformats.org/officeDocument/2006/relationships/hyperlink" Target="https://goo.gl/maps/JEaRUP7RuokEemReA" TargetMode="External"/><Relationship Id="rId181" Type="http://schemas.openxmlformats.org/officeDocument/2006/relationships/hyperlink" Target="http://www.youtube.com/watch?v=5IQoYz9futg" TargetMode="External"/><Relationship Id="rId180" Type="http://schemas.openxmlformats.org/officeDocument/2006/relationships/hyperlink" Target="https://g.page/sonoratownla?share" TargetMode="External"/><Relationship Id="rId176" Type="http://schemas.openxmlformats.org/officeDocument/2006/relationships/hyperlink" Target="https://g.page/sonoratownla?share" TargetMode="External"/><Relationship Id="rId297" Type="http://schemas.openxmlformats.org/officeDocument/2006/relationships/hyperlink" Target="https://g.page/Pikinico?share" TargetMode="External"/><Relationship Id="rId175" Type="http://schemas.openxmlformats.org/officeDocument/2006/relationships/hyperlink" Target="http://www.youtube.com/watch?v=5IQoYz9futg" TargetMode="External"/><Relationship Id="rId296" Type="http://schemas.openxmlformats.org/officeDocument/2006/relationships/hyperlink" Target="http://www.youtube.com/watch?v=xj-6hC5GFfI" TargetMode="External"/><Relationship Id="rId174" Type="http://schemas.openxmlformats.org/officeDocument/2006/relationships/hyperlink" Target="https://g.page/sonoratownla?share" TargetMode="External"/><Relationship Id="rId295" Type="http://schemas.openxmlformats.org/officeDocument/2006/relationships/hyperlink" Target="https://goo.gl/maps/RFdjx4JZzpi6sgWQ7" TargetMode="External"/><Relationship Id="rId173" Type="http://schemas.openxmlformats.org/officeDocument/2006/relationships/hyperlink" Target="http://www.youtube.com/watch?v=5IQoYz9futg" TargetMode="External"/><Relationship Id="rId294" Type="http://schemas.openxmlformats.org/officeDocument/2006/relationships/hyperlink" Target="http://www.youtube.com/watch?v=FkIQMZaBTBo" TargetMode="External"/><Relationship Id="rId179" Type="http://schemas.openxmlformats.org/officeDocument/2006/relationships/hyperlink" Target="http://www.youtube.com/watch?v=5IQoYz9futg" TargetMode="External"/><Relationship Id="rId178" Type="http://schemas.openxmlformats.org/officeDocument/2006/relationships/hyperlink" Target="https://g.page/sonoratownla?share" TargetMode="External"/><Relationship Id="rId299" Type="http://schemas.openxmlformats.org/officeDocument/2006/relationships/hyperlink" Target="https://goo.gl/maps/jEiNdWwry2n112ps9" TargetMode="External"/><Relationship Id="rId177" Type="http://schemas.openxmlformats.org/officeDocument/2006/relationships/hyperlink" Target="http://www.youtube.com/watch?v=5IQoYz9futg" TargetMode="External"/><Relationship Id="rId298" Type="http://schemas.openxmlformats.org/officeDocument/2006/relationships/hyperlink" Target="http://www.youtube.com/watch?v=xj-6hC5GFfI" TargetMode="External"/><Relationship Id="rId198" Type="http://schemas.openxmlformats.org/officeDocument/2006/relationships/hyperlink" Target="https://goo.gl/maps/wWpYNwYQfPVgVLu58" TargetMode="External"/><Relationship Id="rId197" Type="http://schemas.openxmlformats.org/officeDocument/2006/relationships/hyperlink" Target="http://www.youtube.com/watch?v=YqFen-4pUvw" TargetMode="External"/><Relationship Id="rId196" Type="http://schemas.openxmlformats.org/officeDocument/2006/relationships/hyperlink" Target="https://goo.gl/maps/5r7z9oGdNJF9pqPf9" TargetMode="External"/><Relationship Id="rId195" Type="http://schemas.openxmlformats.org/officeDocument/2006/relationships/hyperlink" Target="https://www.youtube.com/watch?v=Qlswv7eLykc&amp;t=16s" TargetMode="External"/><Relationship Id="rId199" Type="http://schemas.openxmlformats.org/officeDocument/2006/relationships/hyperlink" Target="http://www.youtube.com/watch?v=YqFen-4pUvw" TargetMode="External"/><Relationship Id="rId150" Type="http://schemas.openxmlformats.org/officeDocument/2006/relationships/hyperlink" Target="http://www.youtube.com/watch?v=uFmQmqNAmfo" TargetMode="External"/><Relationship Id="rId271" Type="http://schemas.openxmlformats.org/officeDocument/2006/relationships/hyperlink" Target="https://goo.gl/maps/GFojCTN2rn7mYzUbA" TargetMode="External"/><Relationship Id="rId392" Type="http://schemas.openxmlformats.org/officeDocument/2006/relationships/hyperlink" Target="https://goo.gl/maps/2fJKff2wVpbxYkEY8" TargetMode="External"/><Relationship Id="rId270" Type="http://schemas.openxmlformats.org/officeDocument/2006/relationships/hyperlink" Target="http://www.youtube.com/watch?v=JCHttVEG_Lk" TargetMode="External"/><Relationship Id="rId391" Type="http://schemas.openxmlformats.org/officeDocument/2006/relationships/hyperlink" Target="https://www.youtube.com/watch?v=r3Ti02CIFas" TargetMode="External"/><Relationship Id="rId390" Type="http://schemas.openxmlformats.org/officeDocument/2006/relationships/hyperlink" Target="https://goo.gl/maps/49FS6qbutvjMDgsw6" TargetMode="External"/><Relationship Id="rId1" Type="http://schemas.openxmlformats.org/officeDocument/2006/relationships/hyperlink" Target="http://www.youtube.com/watch?v=2GZrPR5Ajrs" TargetMode="External"/><Relationship Id="rId2" Type="http://schemas.openxmlformats.org/officeDocument/2006/relationships/hyperlink" Target="https://g.page/sasabuneglendale?share" TargetMode="External"/><Relationship Id="rId3" Type="http://schemas.openxmlformats.org/officeDocument/2006/relationships/hyperlink" Target="http://www.youtube.com/watch?v=2GZrPR5Ajrs" TargetMode="External"/><Relationship Id="rId149" Type="http://schemas.openxmlformats.org/officeDocument/2006/relationships/hyperlink" Target="http://www.youtube.com/watch?v=uFmQmqNAmfo" TargetMode="External"/><Relationship Id="rId4" Type="http://schemas.openxmlformats.org/officeDocument/2006/relationships/hyperlink" Target="http://www.youtube.com/watch?v=2GZrPR5Ajrs" TargetMode="External"/><Relationship Id="rId148" Type="http://schemas.openxmlformats.org/officeDocument/2006/relationships/hyperlink" Target="http://www.youtube.com/watch?v=NLVQ2qTFFxA" TargetMode="External"/><Relationship Id="rId269" Type="http://schemas.openxmlformats.org/officeDocument/2006/relationships/hyperlink" Target="https://goo.gl/maps/bJbVLTKwvZfbnRim7" TargetMode="External"/><Relationship Id="rId9" Type="http://schemas.openxmlformats.org/officeDocument/2006/relationships/hyperlink" Target="http://www.youtube.com/watch?v=wduZHtRbSkY" TargetMode="External"/><Relationship Id="rId143" Type="http://schemas.openxmlformats.org/officeDocument/2006/relationships/hyperlink" Target="http://www.youtube.com/watch?v=VhI2EpAIcm4" TargetMode="External"/><Relationship Id="rId264" Type="http://schemas.openxmlformats.org/officeDocument/2006/relationships/hyperlink" Target="http://www.youtube.com/watch?v=JCHttVEG_Lk" TargetMode="External"/><Relationship Id="rId385" Type="http://schemas.openxmlformats.org/officeDocument/2006/relationships/hyperlink" Target="https://www.youtube.com/watch?v=r3Ti02CIFas" TargetMode="External"/><Relationship Id="rId142" Type="http://schemas.openxmlformats.org/officeDocument/2006/relationships/hyperlink" Target="http://www.youtube.com/watch?v=VhI2EpAIcm4" TargetMode="External"/><Relationship Id="rId263" Type="http://schemas.openxmlformats.org/officeDocument/2006/relationships/hyperlink" Target="https://goo.gl/maps/cjn5JPkdPuv3Ue1FA" TargetMode="External"/><Relationship Id="rId384" Type="http://schemas.openxmlformats.org/officeDocument/2006/relationships/hyperlink" Target="https://www.perillala.com/" TargetMode="External"/><Relationship Id="rId141" Type="http://schemas.openxmlformats.org/officeDocument/2006/relationships/hyperlink" Target="http://www.youtube.com/watch?v=iN8zmmCRqUA" TargetMode="External"/><Relationship Id="rId262" Type="http://schemas.openxmlformats.org/officeDocument/2006/relationships/hyperlink" Target="http://www.youtube.com/watch?v=JCHttVEG_Lk" TargetMode="External"/><Relationship Id="rId383" Type="http://schemas.openxmlformats.org/officeDocument/2006/relationships/hyperlink" Target="https://www.youtube.com/watch?v=r3Ti02CIFas" TargetMode="External"/><Relationship Id="rId140" Type="http://schemas.openxmlformats.org/officeDocument/2006/relationships/hyperlink" Target="http://www.youtube.com/watch?v=iN8zmmCRqUA" TargetMode="External"/><Relationship Id="rId261" Type="http://schemas.openxmlformats.org/officeDocument/2006/relationships/hyperlink" Target="https://goo.gl/maps/cjn5JPkdPuv3Ue1FA" TargetMode="External"/><Relationship Id="rId382" Type="http://schemas.openxmlformats.org/officeDocument/2006/relationships/hyperlink" Target="https://www.perillala.com/" TargetMode="External"/><Relationship Id="rId5" Type="http://schemas.openxmlformats.org/officeDocument/2006/relationships/hyperlink" Target="http://www.youtube.com/watch?v=2GZrPR5Ajrs" TargetMode="External"/><Relationship Id="rId147" Type="http://schemas.openxmlformats.org/officeDocument/2006/relationships/hyperlink" Target="http://www.youtube.com/watch?v=NLVQ2qTFFxA" TargetMode="External"/><Relationship Id="rId268" Type="http://schemas.openxmlformats.org/officeDocument/2006/relationships/hyperlink" Target="http://www.youtube.com/watch?v=JCHttVEG_Lk" TargetMode="External"/><Relationship Id="rId389" Type="http://schemas.openxmlformats.org/officeDocument/2006/relationships/hyperlink" Target="https://www.youtube.com/watch?v=r3Ti02CIFas" TargetMode="External"/><Relationship Id="rId6" Type="http://schemas.openxmlformats.org/officeDocument/2006/relationships/hyperlink" Target="http://www.youtube.com/watch?v=2GZrPR5Ajrs" TargetMode="External"/><Relationship Id="rId146" Type="http://schemas.openxmlformats.org/officeDocument/2006/relationships/hyperlink" Target="http://www.youtube.com/watch?v=NLVQ2qTFFxA" TargetMode="External"/><Relationship Id="rId267" Type="http://schemas.openxmlformats.org/officeDocument/2006/relationships/hyperlink" Target="https://g.page/TainanGNM?share" TargetMode="External"/><Relationship Id="rId388" Type="http://schemas.openxmlformats.org/officeDocument/2006/relationships/hyperlink" Target="https://goo.gl/maps/49FS6qbutvjMDgsw6" TargetMode="External"/><Relationship Id="rId7" Type="http://schemas.openxmlformats.org/officeDocument/2006/relationships/hyperlink" Target="http://www.youtube.com/watch?v=2GZrPR5Ajrs" TargetMode="External"/><Relationship Id="rId145" Type="http://schemas.openxmlformats.org/officeDocument/2006/relationships/hyperlink" Target="http://www.youtube.com/watch?v=NLVQ2qTFFxA" TargetMode="External"/><Relationship Id="rId266" Type="http://schemas.openxmlformats.org/officeDocument/2006/relationships/hyperlink" Target="http://www.youtube.com/watch?v=JCHttVEG_Lk" TargetMode="External"/><Relationship Id="rId387" Type="http://schemas.openxmlformats.org/officeDocument/2006/relationships/hyperlink" Target="https://www.youtube.com/watch?v=r3Ti02CIFas" TargetMode="External"/><Relationship Id="rId8" Type="http://schemas.openxmlformats.org/officeDocument/2006/relationships/hyperlink" Target="http://www.youtube.com/watch?v=wduZHtRbSkY" TargetMode="External"/><Relationship Id="rId144" Type="http://schemas.openxmlformats.org/officeDocument/2006/relationships/hyperlink" Target="http://www.youtube.com/watch?v=VhI2EpAIcm4" TargetMode="External"/><Relationship Id="rId265" Type="http://schemas.openxmlformats.org/officeDocument/2006/relationships/hyperlink" Target="https://goo.gl/maps/cjn5JPkdPuv3Ue1FA" TargetMode="External"/><Relationship Id="rId386" Type="http://schemas.openxmlformats.org/officeDocument/2006/relationships/hyperlink" Target="https://goo.gl/maps/49FS6qbutvjMDgsw6" TargetMode="External"/><Relationship Id="rId260" Type="http://schemas.openxmlformats.org/officeDocument/2006/relationships/hyperlink" Target="http://www.youtube.com/watch?v=JCHttVEG_Lk" TargetMode="External"/><Relationship Id="rId381" Type="http://schemas.openxmlformats.org/officeDocument/2006/relationships/hyperlink" Target="https://www.youtube.com/watch?v=r3Ti02CIFas" TargetMode="External"/><Relationship Id="rId380" Type="http://schemas.openxmlformats.org/officeDocument/2006/relationships/hyperlink" Target="https://www.perillala.com/" TargetMode="External"/><Relationship Id="rId139" Type="http://schemas.openxmlformats.org/officeDocument/2006/relationships/hyperlink" Target="http://www.youtube.com/watch?v=iN8zmmCRqUA" TargetMode="External"/><Relationship Id="rId138" Type="http://schemas.openxmlformats.org/officeDocument/2006/relationships/hyperlink" Target="http://www.youtube.com/watch?v=3nPEkZv0-OU" TargetMode="External"/><Relationship Id="rId259" Type="http://schemas.openxmlformats.org/officeDocument/2006/relationships/hyperlink" Target="https://goo.gl/maps/cjn5JPkdPuv3Ue1FA" TargetMode="External"/><Relationship Id="rId137" Type="http://schemas.openxmlformats.org/officeDocument/2006/relationships/hyperlink" Target="http://www.youtube.com/watch?v=3nPEkZv0-OU" TargetMode="External"/><Relationship Id="rId258" Type="http://schemas.openxmlformats.org/officeDocument/2006/relationships/hyperlink" Target="http://www.youtube.com/watch?v=xscOXwsaGLQ" TargetMode="External"/><Relationship Id="rId379" Type="http://schemas.openxmlformats.org/officeDocument/2006/relationships/hyperlink" Target="http://www.youtube.com/watch?v=SzOhHutFVKs" TargetMode="External"/><Relationship Id="rId132" Type="http://schemas.openxmlformats.org/officeDocument/2006/relationships/hyperlink" Target="http://www.youtube.com/watch?v=x3zQELlrY6A" TargetMode="External"/><Relationship Id="rId253" Type="http://schemas.openxmlformats.org/officeDocument/2006/relationships/hyperlink" Target="https://g.page/TainanGNM?share" TargetMode="External"/><Relationship Id="rId374" Type="http://schemas.openxmlformats.org/officeDocument/2006/relationships/hyperlink" Target="https://goo.gl/maps/2NrYpe1ZBiFfgNFV8" TargetMode="External"/><Relationship Id="rId131" Type="http://schemas.openxmlformats.org/officeDocument/2006/relationships/hyperlink" Target="http://www.youtube.com/watch?v=x3zQELlrY6A" TargetMode="External"/><Relationship Id="rId252" Type="http://schemas.openxmlformats.org/officeDocument/2006/relationships/hyperlink" Target="http://www.youtube.com/watch?v=xscOXwsaGLQ" TargetMode="External"/><Relationship Id="rId373" Type="http://schemas.openxmlformats.org/officeDocument/2006/relationships/hyperlink" Target="https://www.youtube.com/watch?v=h_4vMTkfGAw&amp;t=15s" TargetMode="External"/><Relationship Id="rId130" Type="http://schemas.openxmlformats.org/officeDocument/2006/relationships/hyperlink" Target="http://www.youtube.com/watch?v=IxD2NbXzgpQ" TargetMode="External"/><Relationship Id="rId251" Type="http://schemas.openxmlformats.org/officeDocument/2006/relationships/hyperlink" Target="https://goo.gl/maps/jRfUDDUvass5LY8j7" TargetMode="External"/><Relationship Id="rId372" Type="http://schemas.openxmlformats.org/officeDocument/2006/relationships/hyperlink" Target="http://www.youtube.com/watch?v=UZF5m70Pgyc" TargetMode="External"/><Relationship Id="rId250" Type="http://schemas.openxmlformats.org/officeDocument/2006/relationships/hyperlink" Target="http://www.youtube.com/watch?v=xscOXwsaGLQ" TargetMode="External"/><Relationship Id="rId371" Type="http://schemas.openxmlformats.org/officeDocument/2006/relationships/hyperlink" Target="https://goo.gl/maps/2JzkkNCbdiVpTPPh8" TargetMode="External"/><Relationship Id="rId136" Type="http://schemas.openxmlformats.org/officeDocument/2006/relationships/hyperlink" Target="http://www.youtube.com/watch?v=3nPEkZv0-OU" TargetMode="External"/><Relationship Id="rId257" Type="http://schemas.openxmlformats.org/officeDocument/2006/relationships/hyperlink" Target="https://goo.gl/maps/X4xrdUfQAbMeu4bc9" TargetMode="External"/><Relationship Id="rId378" Type="http://schemas.openxmlformats.org/officeDocument/2006/relationships/hyperlink" Target="https://goo.gl/maps/p4FcgggjGCqqbkdL9" TargetMode="External"/><Relationship Id="rId135" Type="http://schemas.openxmlformats.org/officeDocument/2006/relationships/hyperlink" Target="http://www.youtube.com/watch?v=3nPEkZv0-OU" TargetMode="External"/><Relationship Id="rId256" Type="http://schemas.openxmlformats.org/officeDocument/2006/relationships/hyperlink" Target="http://www.youtube.com/watch?v=xscOXwsaGLQ" TargetMode="External"/><Relationship Id="rId377" Type="http://schemas.openxmlformats.org/officeDocument/2006/relationships/hyperlink" Target="http://www.youtube.com/watch?v=SzOhHutFVKs" TargetMode="External"/><Relationship Id="rId134" Type="http://schemas.openxmlformats.org/officeDocument/2006/relationships/hyperlink" Target="http://www.youtube.com/watch?v=x3zQELlrY6A" TargetMode="External"/><Relationship Id="rId255" Type="http://schemas.openxmlformats.org/officeDocument/2006/relationships/hyperlink" Target="https://goo.gl/maps/Tu4uNZikCg1VcuN26" TargetMode="External"/><Relationship Id="rId376" Type="http://schemas.openxmlformats.org/officeDocument/2006/relationships/hyperlink" Target="https://goo.gl/maps/ueXHhdkbLKPcKdcu9" TargetMode="External"/><Relationship Id="rId133" Type="http://schemas.openxmlformats.org/officeDocument/2006/relationships/hyperlink" Target="http://www.youtube.com/watch?v=x3zQELlrY6A" TargetMode="External"/><Relationship Id="rId254" Type="http://schemas.openxmlformats.org/officeDocument/2006/relationships/hyperlink" Target="http://www.youtube.com/watch?v=xscOXwsaGLQ" TargetMode="External"/><Relationship Id="rId375" Type="http://schemas.openxmlformats.org/officeDocument/2006/relationships/hyperlink" Target="http://www.youtube.com/watch?v=SzOhHutFVKs" TargetMode="External"/><Relationship Id="rId172" Type="http://schemas.openxmlformats.org/officeDocument/2006/relationships/hyperlink" Target="https://goo.gl/maps/4UYdDvZ4THofjTC46" TargetMode="External"/><Relationship Id="rId293" Type="http://schemas.openxmlformats.org/officeDocument/2006/relationships/hyperlink" Target="https://g.page/laoxiernoodle?share" TargetMode="External"/><Relationship Id="rId171" Type="http://schemas.openxmlformats.org/officeDocument/2006/relationships/hyperlink" Target="http://www.youtube.com/watch?v=5IQoYz9futg" TargetMode="External"/><Relationship Id="rId292" Type="http://schemas.openxmlformats.org/officeDocument/2006/relationships/hyperlink" Target="http://www.youtube.com/watch?v=FkIQMZaBTBo" TargetMode="External"/><Relationship Id="rId170" Type="http://schemas.openxmlformats.org/officeDocument/2006/relationships/hyperlink" Target="https://goo.gl/maps/TDCtzzJ9px7T41eR8" TargetMode="External"/><Relationship Id="rId291" Type="http://schemas.openxmlformats.org/officeDocument/2006/relationships/hyperlink" Target="https://g.page/ladolans?share" TargetMode="External"/><Relationship Id="rId290" Type="http://schemas.openxmlformats.org/officeDocument/2006/relationships/hyperlink" Target="http://www.youtube.com/watch?v=FkIQMZaBTBo" TargetMode="External"/><Relationship Id="rId165" Type="http://schemas.openxmlformats.org/officeDocument/2006/relationships/hyperlink" Target="http://www.youtube.com/watch?v=9yh6-d_u-hA" TargetMode="External"/><Relationship Id="rId286" Type="http://schemas.openxmlformats.org/officeDocument/2006/relationships/hyperlink" Target="http://www.youtube.com/watch?v=FkIQMZaBTBo" TargetMode="External"/><Relationship Id="rId164" Type="http://schemas.openxmlformats.org/officeDocument/2006/relationships/hyperlink" Target="http://www.youtube.com/watch?v=9yh6-d_u-hA" TargetMode="External"/><Relationship Id="rId285" Type="http://schemas.openxmlformats.org/officeDocument/2006/relationships/hyperlink" Target="https://goo.gl/maps/jqz2MKeW7aPBCuLt5" TargetMode="External"/><Relationship Id="rId163" Type="http://schemas.openxmlformats.org/officeDocument/2006/relationships/hyperlink" Target="http://www.youtube.com/watch?v=9yh6-d_u-hA" TargetMode="External"/><Relationship Id="rId284" Type="http://schemas.openxmlformats.org/officeDocument/2006/relationships/hyperlink" Target="http://www.youtube.com/watch?v=Yql-9LHorTo" TargetMode="External"/><Relationship Id="rId162" Type="http://schemas.openxmlformats.org/officeDocument/2006/relationships/hyperlink" Target="http://www.youtube.com/watch?v=9yh6-d_u-hA" TargetMode="External"/><Relationship Id="rId283" Type="http://schemas.openxmlformats.org/officeDocument/2006/relationships/hyperlink" Target="https://g.page/tesserestaurant?share" TargetMode="External"/><Relationship Id="rId169" Type="http://schemas.openxmlformats.org/officeDocument/2006/relationships/hyperlink" Target="http://www.youtube.com/watch?v=FLqvTE1Eqfg" TargetMode="External"/><Relationship Id="rId168" Type="http://schemas.openxmlformats.org/officeDocument/2006/relationships/hyperlink" Target="http://www.youtube.com/watch?v=FLqvTE1Eqfg" TargetMode="External"/><Relationship Id="rId289" Type="http://schemas.openxmlformats.org/officeDocument/2006/relationships/hyperlink" Target="https://g.page/CrustaceanBH?share" TargetMode="External"/><Relationship Id="rId167" Type="http://schemas.openxmlformats.org/officeDocument/2006/relationships/hyperlink" Target="http://www.youtube.com/watch?v=FLqvTE1Eqfg" TargetMode="External"/><Relationship Id="rId288" Type="http://schemas.openxmlformats.org/officeDocument/2006/relationships/hyperlink" Target="http://www.youtube.com/watch?v=FkIQMZaBTBo" TargetMode="External"/><Relationship Id="rId166" Type="http://schemas.openxmlformats.org/officeDocument/2006/relationships/hyperlink" Target="http://www.youtube.com/watch?v=9yh6-d_u-hA" TargetMode="External"/><Relationship Id="rId287" Type="http://schemas.openxmlformats.org/officeDocument/2006/relationships/hyperlink" Target="https://g.page/CrustaceanBH?share" TargetMode="External"/><Relationship Id="rId161" Type="http://schemas.openxmlformats.org/officeDocument/2006/relationships/hyperlink" Target="http://www.youtube.com/watch?v=qUm8TSGtenI" TargetMode="External"/><Relationship Id="rId282" Type="http://schemas.openxmlformats.org/officeDocument/2006/relationships/hyperlink" Target="http://www.youtube.com/watch?v=Yql-9LHorTo" TargetMode="External"/><Relationship Id="rId160" Type="http://schemas.openxmlformats.org/officeDocument/2006/relationships/hyperlink" Target="http://www.youtube.com/watch?v=qUm8TSGtenI" TargetMode="External"/><Relationship Id="rId281" Type="http://schemas.openxmlformats.org/officeDocument/2006/relationships/hyperlink" Target="https://goo.gl/maps/YkywNYfYTxec8aWd7" TargetMode="External"/><Relationship Id="rId280" Type="http://schemas.openxmlformats.org/officeDocument/2006/relationships/hyperlink" Target="http://www.youtube.com/watch?v=Yql-9LHorTo" TargetMode="External"/><Relationship Id="rId159" Type="http://schemas.openxmlformats.org/officeDocument/2006/relationships/hyperlink" Target="http://www.youtube.com/watch?v=qUm8TSGtenI" TargetMode="External"/><Relationship Id="rId154" Type="http://schemas.openxmlformats.org/officeDocument/2006/relationships/hyperlink" Target="http://www.youtube.com/watch?v=-JmA5_gHrrM" TargetMode="External"/><Relationship Id="rId275" Type="http://schemas.openxmlformats.org/officeDocument/2006/relationships/hyperlink" Target="https://goo.gl/maps/9MEZcnnk5A3gAMsB9" TargetMode="External"/><Relationship Id="rId396" Type="http://schemas.openxmlformats.org/officeDocument/2006/relationships/hyperlink" Target="https://goo.gl/maps/a441aoJQPmEsRWoAA" TargetMode="External"/><Relationship Id="rId153" Type="http://schemas.openxmlformats.org/officeDocument/2006/relationships/hyperlink" Target="http://www.youtube.com/watch?v=-JmA5_gHrrM" TargetMode="External"/><Relationship Id="rId274" Type="http://schemas.openxmlformats.org/officeDocument/2006/relationships/hyperlink" Target="http://www.youtube.com/watch?v=JCHttVEG_Lk" TargetMode="External"/><Relationship Id="rId395" Type="http://schemas.openxmlformats.org/officeDocument/2006/relationships/hyperlink" Target="https://www.youtube.com/watch?v=qvLVtsC-HTE" TargetMode="External"/><Relationship Id="rId152" Type="http://schemas.openxmlformats.org/officeDocument/2006/relationships/hyperlink" Target="http://www.youtube.com/watch?v=-JmA5_gHrrM" TargetMode="External"/><Relationship Id="rId273" Type="http://schemas.openxmlformats.org/officeDocument/2006/relationships/hyperlink" Target="https://g.page/yanxianglou?share" TargetMode="External"/><Relationship Id="rId394" Type="http://schemas.openxmlformats.org/officeDocument/2006/relationships/hyperlink" Target="https://goo.gl/maps/h6nCPzSgaiQUQJft7" TargetMode="External"/><Relationship Id="rId151" Type="http://schemas.openxmlformats.org/officeDocument/2006/relationships/hyperlink" Target="http://www.youtube.com/watch?v=uFmQmqNAmfo" TargetMode="External"/><Relationship Id="rId272" Type="http://schemas.openxmlformats.org/officeDocument/2006/relationships/hyperlink" Target="http://www.youtube.com/watch?v=JCHttVEG_Lk" TargetMode="External"/><Relationship Id="rId393" Type="http://schemas.openxmlformats.org/officeDocument/2006/relationships/hyperlink" Target="https://www.youtube.com/watch?v=r3Ti02CIFas" TargetMode="External"/><Relationship Id="rId158" Type="http://schemas.openxmlformats.org/officeDocument/2006/relationships/hyperlink" Target="http://www.youtube.com/watch?v=_yHnu58tIUg" TargetMode="External"/><Relationship Id="rId279" Type="http://schemas.openxmlformats.org/officeDocument/2006/relationships/hyperlink" Target="https://goo.gl/maps/JyLUN9pQaE4ndLxSA" TargetMode="External"/><Relationship Id="rId157" Type="http://schemas.openxmlformats.org/officeDocument/2006/relationships/hyperlink" Target="http://www.youtube.com/watch?v=_yHnu58tIUg" TargetMode="External"/><Relationship Id="rId278" Type="http://schemas.openxmlformats.org/officeDocument/2006/relationships/hyperlink" Target="http://www.youtube.com/watch?v=Yql-9LHorTo" TargetMode="External"/><Relationship Id="rId399" Type="http://schemas.openxmlformats.org/officeDocument/2006/relationships/hyperlink" Target="https://www.youtube.com/watch?v=qvLVtsC-HTE" TargetMode="External"/><Relationship Id="rId156" Type="http://schemas.openxmlformats.org/officeDocument/2006/relationships/hyperlink" Target="http://www.youtube.com/watch?v=_yHnu58tIUg" TargetMode="External"/><Relationship Id="rId277" Type="http://schemas.openxmlformats.org/officeDocument/2006/relationships/hyperlink" Target="https://goo.gl/maps/u8cbZ9L74KNkAZMJ6" TargetMode="External"/><Relationship Id="rId398" Type="http://schemas.openxmlformats.org/officeDocument/2006/relationships/hyperlink" Target="https://goo.gl/maps/3z5kSaoaoMcDMd119" TargetMode="External"/><Relationship Id="rId155" Type="http://schemas.openxmlformats.org/officeDocument/2006/relationships/hyperlink" Target="http://www.youtube.com/watch?v=-JmA5_gHrrM" TargetMode="External"/><Relationship Id="rId276" Type="http://schemas.openxmlformats.org/officeDocument/2006/relationships/hyperlink" Target="http://www.youtube.com/watch?v=JCHttVEG_Lk" TargetMode="External"/><Relationship Id="rId397" Type="http://schemas.openxmlformats.org/officeDocument/2006/relationships/hyperlink" Target="https://www.youtube.com/watch?v=qvLVtsC-HTE" TargetMode="External"/><Relationship Id="rId40" Type="http://schemas.openxmlformats.org/officeDocument/2006/relationships/hyperlink" Target="http://www.youtube.com/watch?v=0n89GZvmeXI" TargetMode="External"/><Relationship Id="rId42" Type="http://schemas.openxmlformats.org/officeDocument/2006/relationships/hyperlink" Target="http://www.youtube.com/watch?v=U61yzVVlUoE" TargetMode="External"/><Relationship Id="rId41" Type="http://schemas.openxmlformats.org/officeDocument/2006/relationships/hyperlink" Target="http://www.youtube.com/watch?v=0n89GZvmeXI" TargetMode="External"/><Relationship Id="rId44" Type="http://schemas.openxmlformats.org/officeDocument/2006/relationships/hyperlink" Target="http://www.youtube.com/watch?v=U61yzVVlUoE" TargetMode="External"/><Relationship Id="rId43" Type="http://schemas.openxmlformats.org/officeDocument/2006/relationships/hyperlink" Target="http://www.youtube.com/watch?v=U61yzVVlUoE" TargetMode="External"/><Relationship Id="rId46" Type="http://schemas.openxmlformats.org/officeDocument/2006/relationships/hyperlink" Target="http://www.youtube.com/watch?v=DWq_sSSWWSI" TargetMode="External"/><Relationship Id="rId45" Type="http://schemas.openxmlformats.org/officeDocument/2006/relationships/hyperlink" Target="http://www.youtube.com/watch?v=DWq_sSSWWSI" TargetMode="External"/><Relationship Id="rId48" Type="http://schemas.openxmlformats.org/officeDocument/2006/relationships/hyperlink" Target="http://www.youtube.com/watch?v=rNuIOpfA2HA" TargetMode="External"/><Relationship Id="rId47" Type="http://schemas.openxmlformats.org/officeDocument/2006/relationships/hyperlink" Target="http://www.youtube.com/watch?v=DWq_sSSWWSI" TargetMode="External"/><Relationship Id="rId49" Type="http://schemas.openxmlformats.org/officeDocument/2006/relationships/hyperlink" Target="http://www.youtube.com/watch?v=rNuIOpfA2HA" TargetMode="External"/><Relationship Id="rId31" Type="http://schemas.openxmlformats.org/officeDocument/2006/relationships/hyperlink" Target="http://www.youtube.com/watch?v=6R8n6FbXVc8" TargetMode="External"/><Relationship Id="rId30" Type="http://schemas.openxmlformats.org/officeDocument/2006/relationships/hyperlink" Target="http://www.youtube.com/watch?v=6R8n6FbXVc8" TargetMode="External"/><Relationship Id="rId33" Type="http://schemas.openxmlformats.org/officeDocument/2006/relationships/hyperlink" Target="http://ookookkoreanbbq.top-cafes.com/" TargetMode="External"/><Relationship Id="rId32" Type="http://schemas.openxmlformats.org/officeDocument/2006/relationships/hyperlink" Target="http://www.youtube.com/watch?v=GTXP2FzQS94" TargetMode="External"/><Relationship Id="rId35" Type="http://schemas.openxmlformats.org/officeDocument/2006/relationships/hyperlink" Target="http://www.youtube.com/watch?v=GTXP2FzQS94" TargetMode="External"/><Relationship Id="rId34" Type="http://schemas.openxmlformats.org/officeDocument/2006/relationships/hyperlink" Target="http://www.youtube.com/watch?v=GTXP2FzQS94" TargetMode="External"/><Relationship Id="rId37" Type="http://schemas.openxmlformats.org/officeDocument/2006/relationships/hyperlink" Target="http://www.youtube.com/watch?v=n4bucphC9r4" TargetMode="External"/><Relationship Id="rId36" Type="http://schemas.openxmlformats.org/officeDocument/2006/relationships/hyperlink" Target="http://www.youtube.com/watch?v=n4bucphC9r4" TargetMode="External"/><Relationship Id="rId39" Type="http://schemas.openxmlformats.org/officeDocument/2006/relationships/hyperlink" Target="http://www.youtube.com/watch?v=0n89GZvmeXI" TargetMode="External"/><Relationship Id="rId38" Type="http://schemas.openxmlformats.org/officeDocument/2006/relationships/hyperlink" Target="http://www.youtube.com/watch?v=n4bucphC9r4" TargetMode="External"/><Relationship Id="rId20" Type="http://schemas.openxmlformats.org/officeDocument/2006/relationships/hyperlink" Target="http://www.youtube.com/watch?v=NHiqsrYkcuk" TargetMode="External"/><Relationship Id="rId22" Type="http://schemas.openxmlformats.org/officeDocument/2006/relationships/hyperlink" Target="http://www.youtube.com/watch?v=NHiqsrYkcuk" TargetMode="External"/><Relationship Id="rId21" Type="http://schemas.openxmlformats.org/officeDocument/2006/relationships/hyperlink" Target="http://www.youtube.com/watch?v=NHiqsrYkcuk" TargetMode="External"/><Relationship Id="rId24" Type="http://schemas.openxmlformats.org/officeDocument/2006/relationships/hyperlink" Target="http://www.youtube.com/watch?v=6R8n6FbXVc8" TargetMode="External"/><Relationship Id="rId23" Type="http://schemas.openxmlformats.org/officeDocument/2006/relationships/hyperlink" Target="http://www.youtube.com/watch?v=NHiqsrYkcuk" TargetMode="External"/><Relationship Id="rId409" Type="http://schemas.openxmlformats.org/officeDocument/2006/relationships/hyperlink" Target="https://youtu.be/CmI2dXo14sY?t=309" TargetMode="External"/><Relationship Id="rId404" Type="http://schemas.openxmlformats.org/officeDocument/2006/relationships/hyperlink" Target="https://g.page/gishbac?share" TargetMode="External"/><Relationship Id="rId403" Type="http://schemas.openxmlformats.org/officeDocument/2006/relationships/hyperlink" Target="https://youtu.be/CmI2dXo14sY?t=79" TargetMode="External"/><Relationship Id="rId402" Type="http://schemas.openxmlformats.org/officeDocument/2006/relationships/hyperlink" Target="https://g.page/gishbac?share" TargetMode="External"/><Relationship Id="rId401" Type="http://schemas.openxmlformats.org/officeDocument/2006/relationships/hyperlink" Target="https://youtu.be/CmI2dXo14sY?t=79" TargetMode="External"/><Relationship Id="rId408" Type="http://schemas.openxmlformats.org/officeDocument/2006/relationships/hyperlink" Target="https://goo.gl/maps/qxFinmjhoh5hbs739" TargetMode="External"/><Relationship Id="rId407" Type="http://schemas.openxmlformats.org/officeDocument/2006/relationships/hyperlink" Target="https://youtu.be/CmI2dXo14sY?t=79" TargetMode="External"/><Relationship Id="rId406" Type="http://schemas.openxmlformats.org/officeDocument/2006/relationships/hyperlink" Target="https://g.page/gishbac?share" TargetMode="External"/><Relationship Id="rId405" Type="http://schemas.openxmlformats.org/officeDocument/2006/relationships/hyperlink" Target="https://youtu.be/CmI2dXo14sY?t=79" TargetMode="External"/><Relationship Id="rId26" Type="http://schemas.openxmlformats.org/officeDocument/2006/relationships/hyperlink" Target="http://www.youtube.com/watch?v=6R8n6FbXVc8" TargetMode="External"/><Relationship Id="rId25" Type="http://schemas.openxmlformats.org/officeDocument/2006/relationships/hyperlink" Target="http://www.youtube.com/watch?v=6R8n6FbXVc8" TargetMode="External"/><Relationship Id="rId28" Type="http://schemas.openxmlformats.org/officeDocument/2006/relationships/hyperlink" Target="http://www.youtube.com/watch?v=6R8n6FbXVc8" TargetMode="External"/><Relationship Id="rId27" Type="http://schemas.openxmlformats.org/officeDocument/2006/relationships/hyperlink" Target="http://www.youtube.com/watch?v=6R8n6FbXVc8" TargetMode="External"/><Relationship Id="rId400" Type="http://schemas.openxmlformats.org/officeDocument/2006/relationships/hyperlink" Target="https://g.page/gishbac?share" TargetMode="External"/><Relationship Id="rId29" Type="http://schemas.openxmlformats.org/officeDocument/2006/relationships/hyperlink" Target="http://www.youtube.com/watch?v=V9eeg8d9XEg" TargetMode="External"/><Relationship Id="rId11" Type="http://schemas.openxmlformats.org/officeDocument/2006/relationships/hyperlink" Target="http://www.youtube.com/watch?v=vzSfnduxNDg" TargetMode="External"/><Relationship Id="rId10" Type="http://schemas.openxmlformats.org/officeDocument/2006/relationships/hyperlink" Target="http://www.youtube.com/watch?v=wduZHtRbSkY" TargetMode="External"/><Relationship Id="rId13" Type="http://schemas.openxmlformats.org/officeDocument/2006/relationships/hyperlink" Target="http://www.youtube.com/watch?v=vzSfnduxNDg" TargetMode="External"/><Relationship Id="rId12" Type="http://schemas.openxmlformats.org/officeDocument/2006/relationships/hyperlink" Target="http://www.youtube.com/watch?v=vzSfnduxNDg" TargetMode="External"/><Relationship Id="rId15" Type="http://schemas.openxmlformats.org/officeDocument/2006/relationships/hyperlink" Target="http://www.youtube.com/watch?v=Z5FoX3ju2J0" TargetMode="External"/><Relationship Id="rId14" Type="http://schemas.openxmlformats.org/officeDocument/2006/relationships/hyperlink" Target="http://www.youtube.com/watch?v=vzSfnduxNDg" TargetMode="External"/><Relationship Id="rId17" Type="http://schemas.openxmlformats.org/officeDocument/2006/relationships/hyperlink" Target="http://www.youtube.com/watch?v=Z5FoX3ju2J0" TargetMode="External"/><Relationship Id="rId16" Type="http://schemas.openxmlformats.org/officeDocument/2006/relationships/hyperlink" Target="http://www.youtube.com/watch?v=Z5FoX3ju2J0" TargetMode="External"/><Relationship Id="rId19" Type="http://schemas.openxmlformats.org/officeDocument/2006/relationships/hyperlink" Target="http://www.youtube.com/watch?v=NHiqsrYkcuk" TargetMode="External"/><Relationship Id="rId18" Type="http://schemas.openxmlformats.org/officeDocument/2006/relationships/hyperlink" Target="http://www.youtube.com/watch?v=NHiqsrYkcuk" TargetMode="External"/><Relationship Id="rId84" Type="http://schemas.openxmlformats.org/officeDocument/2006/relationships/hyperlink" Target="http://www.youtube.com/watch?v=53ivEr2Sd44" TargetMode="External"/><Relationship Id="rId83" Type="http://schemas.openxmlformats.org/officeDocument/2006/relationships/hyperlink" Target="http://www.youtube.com/watch?v=53ivEr2Sd44" TargetMode="External"/><Relationship Id="rId86" Type="http://schemas.openxmlformats.org/officeDocument/2006/relationships/hyperlink" Target="http://www.youtube.com/watch?v=53ivEr2Sd44" TargetMode="External"/><Relationship Id="rId85" Type="http://schemas.openxmlformats.org/officeDocument/2006/relationships/hyperlink" Target="http://www.youtube.com/watch?v=53ivEr2Sd44" TargetMode="External"/><Relationship Id="rId88" Type="http://schemas.openxmlformats.org/officeDocument/2006/relationships/hyperlink" Target="http://www.youtube.com/watch?v=M6XiFKB7j0w" TargetMode="External"/><Relationship Id="rId87" Type="http://schemas.openxmlformats.org/officeDocument/2006/relationships/hyperlink" Target="http://www.youtube.com/watch?v=M6XiFKB7j0w" TargetMode="External"/><Relationship Id="rId89" Type="http://schemas.openxmlformats.org/officeDocument/2006/relationships/hyperlink" Target="http://www.youtube.com/watch?v=M6XiFKB7j0w" TargetMode="External"/><Relationship Id="rId80" Type="http://schemas.openxmlformats.org/officeDocument/2006/relationships/hyperlink" Target="http://www.youtube.com/watch?v=ZsJSW21oXE0" TargetMode="External"/><Relationship Id="rId82" Type="http://schemas.openxmlformats.org/officeDocument/2006/relationships/hyperlink" Target="http://www.youtube.com/watch?v=ZsJSW21oXE0" TargetMode="External"/><Relationship Id="rId81" Type="http://schemas.openxmlformats.org/officeDocument/2006/relationships/hyperlink" Target="http://www.youtube.com/watch?v=ZsJSW21oXE0" TargetMode="External"/><Relationship Id="rId73" Type="http://schemas.openxmlformats.org/officeDocument/2006/relationships/hyperlink" Target="http://www.youtube.com/watch?v=B2COl0ui4Sc" TargetMode="External"/><Relationship Id="rId72" Type="http://schemas.openxmlformats.org/officeDocument/2006/relationships/hyperlink" Target="http://www.youtube.com/watch?v=B2COl0ui4Sc" TargetMode="External"/><Relationship Id="rId75" Type="http://schemas.openxmlformats.org/officeDocument/2006/relationships/hyperlink" Target="http://www.youtube.com/watch?v=AAeRZX6ann8" TargetMode="External"/><Relationship Id="rId74" Type="http://schemas.openxmlformats.org/officeDocument/2006/relationships/hyperlink" Target="http://www.youtube.com/watch?v=AAeRZX6ann8" TargetMode="External"/><Relationship Id="rId77" Type="http://schemas.openxmlformats.org/officeDocument/2006/relationships/hyperlink" Target="http://www.youtube.com/watch?v=iXexmZm3_j8" TargetMode="External"/><Relationship Id="rId76" Type="http://schemas.openxmlformats.org/officeDocument/2006/relationships/hyperlink" Target="http://www.youtube.com/watch?v=AAeRZX6ann8" TargetMode="External"/><Relationship Id="rId79" Type="http://schemas.openxmlformats.org/officeDocument/2006/relationships/hyperlink" Target="http://www.youtube.com/watch?v=iXexmZm3_j8" TargetMode="External"/><Relationship Id="rId78" Type="http://schemas.openxmlformats.org/officeDocument/2006/relationships/hyperlink" Target="http://www.youtube.com/watch?v=iXexmZm3_j8" TargetMode="External"/><Relationship Id="rId71" Type="http://schemas.openxmlformats.org/officeDocument/2006/relationships/hyperlink" Target="http://www.youtube.com/watch?v=B2COl0ui4Sc" TargetMode="External"/><Relationship Id="rId70" Type="http://schemas.openxmlformats.org/officeDocument/2006/relationships/hyperlink" Target="http://www.youtube.com/watch?v=6naWCw5LSPc" TargetMode="External"/><Relationship Id="rId62" Type="http://schemas.openxmlformats.org/officeDocument/2006/relationships/hyperlink" Target="http://www.youtube.com/watch?v=cV7sxafvBgo" TargetMode="External"/><Relationship Id="rId61" Type="http://schemas.openxmlformats.org/officeDocument/2006/relationships/hyperlink" Target="http://www.youtube.com/watch?v=cV7sxafvBgo" TargetMode="External"/><Relationship Id="rId64" Type="http://schemas.openxmlformats.org/officeDocument/2006/relationships/hyperlink" Target="http://www.youtube.com/watch?v=JM1Qgsh2rn0" TargetMode="External"/><Relationship Id="rId63" Type="http://schemas.openxmlformats.org/officeDocument/2006/relationships/hyperlink" Target="http://www.youtube.com/watch?v=cV7sxafvBgo" TargetMode="External"/><Relationship Id="rId66" Type="http://schemas.openxmlformats.org/officeDocument/2006/relationships/hyperlink" Target="http://www.youtube.com/watch?v=JM1Qgsh2rn0" TargetMode="External"/><Relationship Id="rId65" Type="http://schemas.openxmlformats.org/officeDocument/2006/relationships/hyperlink" Target="http://www.youtube.com/watch?v=JM1Qgsh2rn0" TargetMode="External"/><Relationship Id="rId68" Type="http://schemas.openxmlformats.org/officeDocument/2006/relationships/hyperlink" Target="https://goo.gl/maps/27fZR8jhiRuRgkmM7" TargetMode="External"/><Relationship Id="rId67" Type="http://schemas.openxmlformats.org/officeDocument/2006/relationships/hyperlink" Target="http://www.youtube.com/watch?v=6naWCw5LSPc" TargetMode="External"/><Relationship Id="rId60" Type="http://schemas.openxmlformats.org/officeDocument/2006/relationships/hyperlink" Target="http://www.youtube.com/watch?v=oCxJhNLCdAU" TargetMode="External"/><Relationship Id="rId69" Type="http://schemas.openxmlformats.org/officeDocument/2006/relationships/hyperlink" Target="http://www.youtube.com/watch?v=6naWCw5LSPc" TargetMode="External"/><Relationship Id="rId51" Type="http://schemas.openxmlformats.org/officeDocument/2006/relationships/hyperlink" Target="http://www.youtube.com/watch?v=bcdJgjNDsto" TargetMode="External"/><Relationship Id="rId50" Type="http://schemas.openxmlformats.org/officeDocument/2006/relationships/hyperlink" Target="http://www.youtube.com/watch?v=rNuIOpfA2HA" TargetMode="External"/><Relationship Id="rId53" Type="http://schemas.openxmlformats.org/officeDocument/2006/relationships/hyperlink" Target="http://www.youtube.com/watch?v=bcdJgjNDsto" TargetMode="External"/><Relationship Id="rId52" Type="http://schemas.openxmlformats.org/officeDocument/2006/relationships/hyperlink" Target="http://www.youtube.com/watch?v=bcdJgjNDsto" TargetMode="External"/><Relationship Id="rId55" Type="http://schemas.openxmlformats.org/officeDocument/2006/relationships/hyperlink" Target="http://www.youtube.com/watch?v=dJJFkOVHEng" TargetMode="External"/><Relationship Id="rId54" Type="http://schemas.openxmlformats.org/officeDocument/2006/relationships/hyperlink" Target="http://www.youtube.com/watch?v=bcdJgjNDsto" TargetMode="External"/><Relationship Id="rId57" Type="http://schemas.openxmlformats.org/officeDocument/2006/relationships/hyperlink" Target="http://www.youtube.com/watch?v=dJJFkOVHEng" TargetMode="External"/><Relationship Id="rId56" Type="http://schemas.openxmlformats.org/officeDocument/2006/relationships/hyperlink" Target="http://www.youtube.com/watch?v=dJJFkOVHEng" TargetMode="External"/><Relationship Id="rId59" Type="http://schemas.openxmlformats.org/officeDocument/2006/relationships/hyperlink" Target="http://www.youtube.com/watch?v=oCxJhNLCdAU" TargetMode="External"/><Relationship Id="rId58" Type="http://schemas.openxmlformats.org/officeDocument/2006/relationships/hyperlink" Target="http://www.youtube.com/watch?v=oCxJhNLCdAU" TargetMode="External"/><Relationship Id="rId107" Type="http://schemas.openxmlformats.org/officeDocument/2006/relationships/hyperlink" Target="http://www.youtube.com/watch?v=dT5ALH3ICTc" TargetMode="External"/><Relationship Id="rId228" Type="http://schemas.openxmlformats.org/officeDocument/2006/relationships/hyperlink" Target="http://www.youtube.com/watch?v=CgjOzZ0EE9Y" TargetMode="External"/><Relationship Id="rId349" Type="http://schemas.openxmlformats.org/officeDocument/2006/relationships/hyperlink" Target="https://goo.gl/maps/7Tb4APMPiZhgLHCs9" TargetMode="External"/><Relationship Id="rId106" Type="http://schemas.openxmlformats.org/officeDocument/2006/relationships/hyperlink" Target="http://www.youtube.com/watch?v=dT5ALH3ICTc" TargetMode="External"/><Relationship Id="rId227" Type="http://schemas.openxmlformats.org/officeDocument/2006/relationships/hyperlink" Target="http://www.youtube.com/watch?v=CgjOzZ0EE9Y" TargetMode="External"/><Relationship Id="rId348" Type="http://schemas.openxmlformats.org/officeDocument/2006/relationships/hyperlink" Target="https://www.youtube.com/watch?v=iRyXDCckvuc" TargetMode="External"/><Relationship Id="rId469" Type="http://schemas.openxmlformats.org/officeDocument/2006/relationships/hyperlink" Target="https://youtu.be/Bhos_P4a-JQ?t=854" TargetMode="External"/><Relationship Id="rId105" Type="http://schemas.openxmlformats.org/officeDocument/2006/relationships/hyperlink" Target="https://goo.gl/maps/sW5k1TwM84Bhdv2ZA" TargetMode="External"/><Relationship Id="rId226" Type="http://schemas.openxmlformats.org/officeDocument/2006/relationships/hyperlink" Target="http://www.youtube.com/watch?v=PbQyevYlLAY" TargetMode="External"/><Relationship Id="rId347" Type="http://schemas.openxmlformats.org/officeDocument/2006/relationships/hyperlink" Target="https://goo.gl/maps/twX4WVuSB6rLXoBm7" TargetMode="External"/><Relationship Id="rId468" Type="http://schemas.openxmlformats.org/officeDocument/2006/relationships/hyperlink" Target="https://goo.gl/maps/RNtJjTPDUcCWG8xX7" TargetMode="External"/><Relationship Id="rId104" Type="http://schemas.openxmlformats.org/officeDocument/2006/relationships/hyperlink" Target="http://www.youtube.com/watch?v=se9E-qvPJSg" TargetMode="External"/><Relationship Id="rId225" Type="http://schemas.openxmlformats.org/officeDocument/2006/relationships/hyperlink" Target="https://goo.gl/maps/qfpSPEZzdE715sQs8" TargetMode="External"/><Relationship Id="rId346" Type="http://schemas.openxmlformats.org/officeDocument/2006/relationships/hyperlink" Target="https://www.youtube.com/watch?v=f8BLlSvqrVc" TargetMode="External"/><Relationship Id="rId467" Type="http://schemas.openxmlformats.org/officeDocument/2006/relationships/hyperlink" Target="https://youtu.be/Bhos_P4a-JQ?t=644" TargetMode="External"/><Relationship Id="rId109" Type="http://schemas.openxmlformats.org/officeDocument/2006/relationships/hyperlink" Target="http://www.youtube.com/watch?v=rdeQT7KkqM8" TargetMode="External"/><Relationship Id="rId108" Type="http://schemas.openxmlformats.org/officeDocument/2006/relationships/hyperlink" Target="http://www.youtube.com/watch?v=dT5ALH3ICTc" TargetMode="External"/><Relationship Id="rId229" Type="http://schemas.openxmlformats.org/officeDocument/2006/relationships/hyperlink" Target="http://www.youtube.com/watch?v=CgjOzZ0EE9Y" TargetMode="External"/><Relationship Id="rId220" Type="http://schemas.openxmlformats.org/officeDocument/2006/relationships/hyperlink" Target="http://www.youtube.com/watch?v=LBJVq56fptQ" TargetMode="External"/><Relationship Id="rId341" Type="http://schemas.openxmlformats.org/officeDocument/2006/relationships/hyperlink" Target="https://g.page/Goodcakesandbakes?share" TargetMode="External"/><Relationship Id="rId462" Type="http://schemas.openxmlformats.org/officeDocument/2006/relationships/hyperlink" Target="https://goo.gl/maps/khknsi3jFmEQbDN58" TargetMode="External"/><Relationship Id="rId340" Type="http://schemas.openxmlformats.org/officeDocument/2006/relationships/hyperlink" Target="https://www.youtube.com/watch?v=f8BLlSvqrVc" TargetMode="External"/><Relationship Id="rId461" Type="http://schemas.openxmlformats.org/officeDocument/2006/relationships/hyperlink" Target="https://youtu.be/Bhos_P4a-JQ?t=40" TargetMode="External"/><Relationship Id="rId460" Type="http://schemas.openxmlformats.org/officeDocument/2006/relationships/hyperlink" Target="https://youtu.be/Bhos_P4a-JQ?t=346" TargetMode="External"/><Relationship Id="rId103" Type="http://schemas.openxmlformats.org/officeDocument/2006/relationships/hyperlink" Target="http://www.youtube.com/watch?v=se9E-qvPJSg" TargetMode="External"/><Relationship Id="rId224" Type="http://schemas.openxmlformats.org/officeDocument/2006/relationships/hyperlink" Target="http://www.youtube.com/watch?v=PbQyevYlLAY" TargetMode="External"/><Relationship Id="rId345" Type="http://schemas.openxmlformats.org/officeDocument/2006/relationships/hyperlink" Target="https://g.page/NoshPitDetroit?share" TargetMode="External"/><Relationship Id="rId466" Type="http://schemas.openxmlformats.org/officeDocument/2006/relationships/hyperlink" Target="https://youtu.be/Bhos_P4a-JQ?t=644" TargetMode="External"/><Relationship Id="rId102" Type="http://schemas.openxmlformats.org/officeDocument/2006/relationships/hyperlink" Target="http://www.youtube.com/watch?v=se9E-qvPJSg" TargetMode="External"/><Relationship Id="rId223" Type="http://schemas.openxmlformats.org/officeDocument/2006/relationships/hyperlink" Target="https://goo.gl/maps/cjjYARdSPdpBTFow9" TargetMode="External"/><Relationship Id="rId344" Type="http://schemas.openxmlformats.org/officeDocument/2006/relationships/hyperlink" Target="https://www.youtube.com/watch?v=f8BLlSvqrVc" TargetMode="External"/><Relationship Id="rId465" Type="http://schemas.openxmlformats.org/officeDocument/2006/relationships/hyperlink" Target="https://goo.gl/maps/PxgPBCFfAg81xV4G9" TargetMode="External"/><Relationship Id="rId101" Type="http://schemas.openxmlformats.org/officeDocument/2006/relationships/hyperlink" Target="http://www.youtube.com/watch?v=uDzl5PG51uI" TargetMode="External"/><Relationship Id="rId222" Type="http://schemas.openxmlformats.org/officeDocument/2006/relationships/hyperlink" Target="http://www.youtube.com/watch?v=PbQyevYlLAY" TargetMode="External"/><Relationship Id="rId343" Type="http://schemas.openxmlformats.org/officeDocument/2006/relationships/hyperlink" Target="https://goo.gl/maps/tN94eydGna8hXhUj7" TargetMode="External"/><Relationship Id="rId464" Type="http://schemas.openxmlformats.org/officeDocument/2006/relationships/hyperlink" Target="https://youtu.be/Bhos_P4a-JQ?t=40" TargetMode="External"/><Relationship Id="rId100" Type="http://schemas.openxmlformats.org/officeDocument/2006/relationships/hyperlink" Target="http://www.youtube.com/watch?v=uDzl5PG51uI" TargetMode="External"/><Relationship Id="rId221" Type="http://schemas.openxmlformats.org/officeDocument/2006/relationships/hyperlink" Target="https://g.page/angeliniosteria?share" TargetMode="External"/><Relationship Id="rId342" Type="http://schemas.openxmlformats.org/officeDocument/2006/relationships/hyperlink" Target="https://www.youtube.com/watch?v=f8BLlSvqrVc" TargetMode="External"/><Relationship Id="rId463" Type="http://schemas.openxmlformats.org/officeDocument/2006/relationships/hyperlink" Target="https://youtu.be/Bhos_P4a-JQ?t=346" TargetMode="External"/><Relationship Id="rId217" Type="http://schemas.openxmlformats.org/officeDocument/2006/relationships/hyperlink" Target="https://goo.gl/maps/K7huV4mRQE4riKAJ7" TargetMode="External"/><Relationship Id="rId338" Type="http://schemas.openxmlformats.org/officeDocument/2006/relationships/hyperlink" Target="https://www.youtube.com/watch?v=ACKYhlBi98Q" TargetMode="External"/><Relationship Id="rId459" Type="http://schemas.openxmlformats.org/officeDocument/2006/relationships/hyperlink" Target="https://goo.gl/maps/khknsi3jFmEQbDN58" TargetMode="External"/><Relationship Id="rId216" Type="http://schemas.openxmlformats.org/officeDocument/2006/relationships/hyperlink" Target="http://www.youtube.com/watch?v=LBJVq56fptQ" TargetMode="External"/><Relationship Id="rId337" Type="http://schemas.openxmlformats.org/officeDocument/2006/relationships/hyperlink" Target="https://goo.gl/maps/w2oiiHV5R18jUEEN8" TargetMode="External"/><Relationship Id="rId458" Type="http://schemas.openxmlformats.org/officeDocument/2006/relationships/hyperlink" Target="https://youtu.be/Bhos_P4a-JQ?t=40" TargetMode="External"/><Relationship Id="rId215" Type="http://schemas.openxmlformats.org/officeDocument/2006/relationships/hyperlink" Target="http://www.youtube.com/watch?v=LBJVq56fptQ" TargetMode="External"/><Relationship Id="rId336" Type="http://schemas.openxmlformats.org/officeDocument/2006/relationships/hyperlink" Target="https://www.youtube.com/watch?v=ACKYhlBi98Q" TargetMode="External"/><Relationship Id="rId457" Type="http://schemas.openxmlformats.org/officeDocument/2006/relationships/hyperlink" Target="https://youtu.be/Bhos_P4a-JQ?t=346" TargetMode="External"/><Relationship Id="rId214" Type="http://schemas.openxmlformats.org/officeDocument/2006/relationships/hyperlink" Target="https://goo.gl/maps/3tP1LfqvZaJ9Lpk19" TargetMode="External"/><Relationship Id="rId335" Type="http://schemas.openxmlformats.org/officeDocument/2006/relationships/hyperlink" Target="https://goo.gl/maps/w2oiiHV5R18jUEEN8" TargetMode="External"/><Relationship Id="rId456" Type="http://schemas.openxmlformats.org/officeDocument/2006/relationships/hyperlink" Target="https://goo.gl/maps/khknsi3jFmEQbDN58" TargetMode="External"/><Relationship Id="rId219" Type="http://schemas.openxmlformats.org/officeDocument/2006/relationships/hyperlink" Target="https://goo.gl/maps/K7huV4mRQE4riKAJ7" TargetMode="External"/><Relationship Id="rId218" Type="http://schemas.openxmlformats.org/officeDocument/2006/relationships/hyperlink" Target="http://www.youtube.com/watch?v=LBJVq56fptQ" TargetMode="External"/><Relationship Id="rId339" Type="http://schemas.openxmlformats.org/officeDocument/2006/relationships/hyperlink" Target="https://goo.gl/maps/WX7Dmrui2cQ7fJL16" TargetMode="External"/><Relationship Id="rId330" Type="http://schemas.openxmlformats.org/officeDocument/2006/relationships/hyperlink" Target="https://www.youtube.com/watch?v=ACKYhlBi98Q" TargetMode="External"/><Relationship Id="rId451" Type="http://schemas.openxmlformats.org/officeDocument/2006/relationships/hyperlink" Target="https://youtu.be/Bhos_P4a-JQ?t=346" TargetMode="External"/><Relationship Id="rId450" Type="http://schemas.openxmlformats.org/officeDocument/2006/relationships/hyperlink" Target="https://goo.gl/maps/khknsi3jFmEQbDN58" TargetMode="External"/><Relationship Id="rId213" Type="http://schemas.openxmlformats.org/officeDocument/2006/relationships/hyperlink" Target="http://www.youtube.com/watch?v=LBJVq56fptQ" TargetMode="External"/><Relationship Id="rId334" Type="http://schemas.openxmlformats.org/officeDocument/2006/relationships/hyperlink" Target="https://www.youtube.com/watch?v=ACKYhlBi98Q" TargetMode="External"/><Relationship Id="rId455" Type="http://schemas.openxmlformats.org/officeDocument/2006/relationships/hyperlink" Target="https://youtu.be/Bhos_P4a-JQ?t=40" TargetMode="External"/><Relationship Id="rId212" Type="http://schemas.openxmlformats.org/officeDocument/2006/relationships/hyperlink" Target="https://goo.gl/maps/3tP1LfqvZaJ9Lpk19" TargetMode="External"/><Relationship Id="rId333" Type="http://schemas.openxmlformats.org/officeDocument/2006/relationships/hyperlink" Target="https://goo.gl/maps/w2oiiHV5R18jUEEN8" TargetMode="External"/><Relationship Id="rId454" Type="http://schemas.openxmlformats.org/officeDocument/2006/relationships/hyperlink" Target="https://youtu.be/Bhos_P4a-JQ?t=346" TargetMode="External"/><Relationship Id="rId211" Type="http://schemas.openxmlformats.org/officeDocument/2006/relationships/hyperlink" Target="http://www.youtube.com/watch?v=LBJVq56fptQ" TargetMode="External"/><Relationship Id="rId332" Type="http://schemas.openxmlformats.org/officeDocument/2006/relationships/hyperlink" Target="https://www.youtube.com/watch?v=ACKYhlBi98Q" TargetMode="External"/><Relationship Id="rId453" Type="http://schemas.openxmlformats.org/officeDocument/2006/relationships/hyperlink" Target="https://goo.gl/maps/khknsi3jFmEQbDN58" TargetMode="External"/><Relationship Id="rId210" Type="http://schemas.openxmlformats.org/officeDocument/2006/relationships/hyperlink" Target="https://goo.gl/maps/3tP1LfqvZaJ9Lpk19" TargetMode="External"/><Relationship Id="rId331" Type="http://schemas.openxmlformats.org/officeDocument/2006/relationships/hyperlink" Target="https://goo.gl/maps/KQrKbiYkUvanXceQ6" TargetMode="External"/><Relationship Id="rId452" Type="http://schemas.openxmlformats.org/officeDocument/2006/relationships/hyperlink" Target="https://youtu.be/Bhos_P4a-JQ?t=40" TargetMode="External"/><Relationship Id="rId370" Type="http://schemas.openxmlformats.org/officeDocument/2006/relationships/hyperlink" Target="http://www.youtube.com/watch?v=_GGsPCZUXrw" TargetMode="External"/><Relationship Id="rId129" Type="http://schemas.openxmlformats.org/officeDocument/2006/relationships/hyperlink" Target="http://www.youtube.com/watch?v=IxD2NbXzgpQ" TargetMode="External"/><Relationship Id="rId128" Type="http://schemas.openxmlformats.org/officeDocument/2006/relationships/hyperlink" Target="http://www.youtube.com/watch?v=IxD2NbXzgpQ" TargetMode="External"/><Relationship Id="rId249" Type="http://schemas.openxmlformats.org/officeDocument/2006/relationships/hyperlink" Target="https://goo.gl/maps/nrpxHWaArpVnRXJ29" TargetMode="External"/><Relationship Id="rId127" Type="http://schemas.openxmlformats.org/officeDocument/2006/relationships/hyperlink" Target="http://www.youtube.com/watch?v=QpyHrQYeoIE" TargetMode="External"/><Relationship Id="rId248" Type="http://schemas.openxmlformats.org/officeDocument/2006/relationships/hyperlink" Target="http://www.youtube.com/watch?v=w3XS900kg1U" TargetMode="External"/><Relationship Id="rId369" Type="http://schemas.openxmlformats.org/officeDocument/2006/relationships/hyperlink" Target="http://www.youtube.com/watch?v=fjSKDTLPmE8" TargetMode="External"/><Relationship Id="rId126" Type="http://schemas.openxmlformats.org/officeDocument/2006/relationships/hyperlink" Target="http://www.youtube.com/watch?v=QpyHrQYeoIE" TargetMode="External"/><Relationship Id="rId247" Type="http://schemas.openxmlformats.org/officeDocument/2006/relationships/hyperlink" Target="https://goo.gl/maps/aVWCHhZP2W8nxKnN6" TargetMode="External"/><Relationship Id="rId368" Type="http://schemas.openxmlformats.org/officeDocument/2006/relationships/hyperlink" Target="http://www.youtube.com/watch?v=FGAfZ-PTaNU" TargetMode="External"/><Relationship Id="rId489" Type="http://schemas.openxmlformats.org/officeDocument/2006/relationships/drawing" Target="../drawings/drawing2.xml"/><Relationship Id="rId121" Type="http://schemas.openxmlformats.org/officeDocument/2006/relationships/hyperlink" Target="http://www.youtube.com/watch?v=tqPub3p3k5E" TargetMode="External"/><Relationship Id="rId242" Type="http://schemas.openxmlformats.org/officeDocument/2006/relationships/hyperlink" Target="http://www.youtube.com/watch?v=w3XS900kg1U" TargetMode="External"/><Relationship Id="rId363" Type="http://schemas.openxmlformats.org/officeDocument/2006/relationships/hyperlink" Target="http://www.youtube.com/watch?v=XmqLrbidKGU" TargetMode="External"/><Relationship Id="rId484" Type="http://schemas.openxmlformats.org/officeDocument/2006/relationships/hyperlink" Target="https://youtu.be/Bhos_P4a-JQ?t=854" TargetMode="External"/><Relationship Id="rId120" Type="http://schemas.openxmlformats.org/officeDocument/2006/relationships/hyperlink" Target="http://www.youtube.com/watch?v=tqPub3p3k5E" TargetMode="External"/><Relationship Id="rId241" Type="http://schemas.openxmlformats.org/officeDocument/2006/relationships/hyperlink" Target="https://goo.gl/maps/owXi3XT1B93UiEMG8" TargetMode="External"/><Relationship Id="rId362" Type="http://schemas.openxmlformats.org/officeDocument/2006/relationships/hyperlink" Target="http://www.youtube.com/watch?v=XmqLrbidKGU" TargetMode="External"/><Relationship Id="rId483" Type="http://schemas.openxmlformats.org/officeDocument/2006/relationships/hyperlink" Target="https://goo.gl/maps/RNtJjTPDUcCWG8xX7" TargetMode="External"/><Relationship Id="rId240" Type="http://schemas.openxmlformats.org/officeDocument/2006/relationships/hyperlink" Target="http://www.youtube.com/watch?v=w3XS900kg1U" TargetMode="External"/><Relationship Id="rId361" Type="http://schemas.openxmlformats.org/officeDocument/2006/relationships/hyperlink" Target="http://www.youtube.com/watch?v=XmqLrbidKGU" TargetMode="External"/><Relationship Id="rId482" Type="http://schemas.openxmlformats.org/officeDocument/2006/relationships/hyperlink" Target="https://youtu.be/Bhos_P4a-JQ?t=854" TargetMode="External"/><Relationship Id="rId360" Type="http://schemas.openxmlformats.org/officeDocument/2006/relationships/hyperlink" Target="http://www.youtube.com/watch?v=XmqLrbidKGU" TargetMode="External"/><Relationship Id="rId481" Type="http://schemas.openxmlformats.org/officeDocument/2006/relationships/hyperlink" Target="https://youtu.be/Bhos_P4a-JQ?t=854" TargetMode="External"/><Relationship Id="rId125" Type="http://schemas.openxmlformats.org/officeDocument/2006/relationships/hyperlink" Target="http://www.youtube.com/watch?v=QpyHrQYeoIE" TargetMode="External"/><Relationship Id="rId246" Type="http://schemas.openxmlformats.org/officeDocument/2006/relationships/hyperlink" Target="http://www.youtube.com/watch?v=w3XS900kg1U" TargetMode="External"/><Relationship Id="rId367" Type="http://schemas.openxmlformats.org/officeDocument/2006/relationships/hyperlink" Target="http://www.youtube.com/watch?v=nXu2psXhZ_8" TargetMode="External"/><Relationship Id="rId488" Type="http://schemas.openxmlformats.org/officeDocument/2006/relationships/hyperlink" Target="https://youtu.be/Bhos_P4a-JQ?t=854" TargetMode="External"/><Relationship Id="rId124" Type="http://schemas.openxmlformats.org/officeDocument/2006/relationships/hyperlink" Target="http://www.youtube.com/watch?v=QpyHrQYeoIE" TargetMode="External"/><Relationship Id="rId245" Type="http://schemas.openxmlformats.org/officeDocument/2006/relationships/hyperlink" Target="https://goo.gl/maps/4kvLMWPShpVrWbBm8" TargetMode="External"/><Relationship Id="rId366" Type="http://schemas.openxmlformats.org/officeDocument/2006/relationships/hyperlink" Target="http://www.youtube.com/watch?v=nXu2psXhZ_8" TargetMode="External"/><Relationship Id="rId487" Type="http://schemas.openxmlformats.org/officeDocument/2006/relationships/hyperlink" Target="https://youtu.be/Bhos_P4a-JQ?t=854" TargetMode="External"/><Relationship Id="rId123" Type="http://schemas.openxmlformats.org/officeDocument/2006/relationships/hyperlink" Target="http://www.youtube.com/watch?v=QpyHrQYeoIE" TargetMode="External"/><Relationship Id="rId244" Type="http://schemas.openxmlformats.org/officeDocument/2006/relationships/hyperlink" Target="http://www.youtube.com/watch?v=w3XS900kg1U" TargetMode="External"/><Relationship Id="rId365" Type="http://schemas.openxmlformats.org/officeDocument/2006/relationships/hyperlink" Target="http://www.youtube.com/watch?v=nXu2psXhZ_8" TargetMode="External"/><Relationship Id="rId486" Type="http://schemas.openxmlformats.org/officeDocument/2006/relationships/hyperlink" Target="https://goo.gl/maps/RNtJjTPDUcCWG8xX7" TargetMode="External"/><Relationship Id="rId122" Type="http://schemas.openxmlformats.org/officeDocument/2006/relationships/hyperlink" Target="http://www.youtube.com/watch?v=tqPub3p3k5E" TargetMode="External"/><Relationship Id="rId243" Type="http://schemas.openxmlformats.org/officeDocument/2006/relationships/hyperlink" Target="https://goo.gl/maps/cStwaRk4Zj4YvmaT9" TargetMode="External"/><Relationship Id="rId364" Type="http://schemas.openxmlformats.org/officeDocument/2006/relationships/hyperlink" Target="http://www.youtube.com/watch?v=nXu2psXhZ_8" TargetMode="External"/><Relationship Id="rId485" Type="http://schemas.openxmlformats.org/officeDocument/2006/relationships/hyperlink" Target="https://youtu.be/Bhos_P4a-JQ?t=854" TargetMode="External"/><Relationship Id="rId95" Type="http://schemas.openxmlformats.org/officeDocument/2006/relationships/hyperlink" Target="http://www.youtube.com/watch?v=QtVL76gh09U" TargetMode="External"/><Relationship Id="rId94" Type="http://schemas.openxmlformats.org/officeDocument/2006/relationships/hyperlink" Target="http://www.youtube.com/watch?v=QtVL76gh09U" TargetMode="External"/><Relationship Id="rId97" Type="http://schemas.openxmlformats.org/officeDocument/2006/relationships/hyperlink" Target="http://www.youtube.com/watch?v=qIbbJV-grHg" TargetMode="External"/><Relationship Id="rId96" Type="http://schemas.openxmlformats.org/officeDocument/2006/relationships/hyperlink" Target="http://www.youtube.com/watch?v=qIbbJV-grHg" TargetMode="External"/><Relationship Id="rId99" Type="http://schemas.openxmlformats.org/officeDocument/2006/relationships/hyperlink" Target="http://www.youtube.com/watch?v=uDzl5PG51uI" TargetMode="External"/><Relationship Id="rId480" Type="http://schemas.openxmlformats.org/officeDocument/2006/relationships/hyperlink" Target="https://goo.gl/maps/RNtJjTPDUcCWG8xX7" TargetMode="External"/><Relationship Id="rId98" Type="http://schemas.openxmlformats.org/officeDocument/2006/relationships/hyperlink" Target="http://www.youtube.com/watch?v=qIbbJV-grHg" TargetMode="External"/><Relationship Id="rId91" Type="http://schemas.openxmlformats.org/officeDocument/2006/relationships/hyperlink" Target="http://www.youtube.com/watch?v=yyv2gOHMGEc" TargetMode="External"/><Relationship Id="rId90" Type="http://schemas.openxmlformats.org/officeDocument/2006/relationships/hyperlink" Target="http://www.youtube.com/watch?v=yyv2gOHMGEc" TargetMode="External"/><Relationship Id="rId93" Type="http://schemas.openxmlformats.org/officeDocument/2006/relationships/hyperlink" Target="http://www.youtube.com/watch?v=QtVL76gh09U" TargetMode="External"/><Relationship Id="rId92" Type="http://schemas.openxmlformats.org/officeDocument/2006/relationships/hyperlink" Target="http://www.youtube.com/watch?v=yyv2gOHMGEc" TargetMode="External"/><Relationship Id="rId118" Type="http://schemas.openxmlformats.org/officeDocument/2006/relationships/hyperlink" Target="http://www.youtube.com/watch?v=oipLbJoV9pM" TargetMode="External"/><Relationship Id="rId239" Type="http://schemas.openxmlformats.org/officeDocument/2006/relationships/hyperlink" Target="https://goo.gl/maps/BkN1xN1T9V5NzbtL6" TargetMode="External"/><Relationship Id="rId117" Type="http://schemas.openxmlformats.org/officeDocument/2006/relationships/hyperlink" Target="http://www.youtube.com/watch?v=oipLbJoV9pM" TargetMode="External"/><Relationship Id="rId238" Type="http://schemas.openxmlformats.org/officeDocument/2006/relationships/hyperlink" Target="http://www.youtube.com/watch?v=w3XS900kg1U" TargetMode="External"/><Relationship Id="rId359" Type="http://schemas.openxmlformats.org/officeDocument/2006/relationships/hyperlink" Target="http://www.youtube.com/watch?v=XmqLrbidKGU" TargetMode="External"/><Relationship Id="rId116" Type="http://schemas.openxmlformats.org/officeDocument/2006/relationships/hyperlink" Target="http://www.youtube.com/watch?v=oipLbJoV9pM" TargetMode="External"/><Relationship Id="rId237" Type="http://schemas.openxmlformats.org/officeDocument/2006/relationships/hyperlink" Target="https://goo.gl/maps/TsXkckVxJ6ELfvp2A" TargetMode="External"/><Relationship Id="rId358" Type="http://schemas.openxmlformats.org/officeDocument/2006/relationships/hyperlink" Target="http://www.youtube.com/watch?v=hz-RVFwgY1k" TargetMode="External"/><Relationship Id="rId479" Type="http://schemas.openxmlformats.org/officeDocument/2006/relationships/hyperlink" Target="https://youtu.be/Bhos_P4a-JQ?t=854" TargetMode="External"/><Relationship Id="rId115" Type="http://schemas.openxmlformats.org/officeDocument/2006/relationships/hyperlink" Target="http://www.youtube.com/watch?v=oipLbJoV9pM" TargetMode="External"/><Relationship Id="rId236" Type="http://schemas.openxmlformats.org/officeDocument/2006/relationships/hyperlink" Target="http://www.youtube.com/watch?v=w3XS900kg1U" TargetMode="External"/><Relationship Id="rId357" Type="http://schemas.openxmlformats.org/officeDocument/2006/relationships/hyperlink" Target="http://www.youtube.com/watch?v=hz-RVFwgY1k" TargetMode="External"/><Relationship Id="rId478" Type="http://schemas.openxmlformats.org/officeDocument/2006/relationships/hyperlink" Target="https://youtu.be/Bhos_P4a-JQ?t=854" TargetMode="External"/><Relationship Id="rId119" Type="http://schemas.openxmlformats.org/officeDocument/2006/relationships/hyperlink" Target="http://www.youtube.com/watch?v=oipLbJoV9pM" TargetMode="External"/><Relationship Id="rId110" Type="http://schemas.openxmlformats.org/officeDocument/2006/relationships/hyperlink" Target="http://www.youtube.com/watch?v=rdeQT7KkqM8" TargetMode="External"/><Relationship Id="rId231" Type="http://schemas.openxmlformats.org/officeDocument/2006/relationships/hyperlink" Target="http://www.youtube.com/watch?v=CgjOzZ0EE9Y" TargetMode="External"/><Relationship Id="rId352" Type="http://schemas.openxmlformats.org/officeDocument/2006/relationships/hyperlink" Target="https://www.youtube.com/watch?v=iRyXDCckvuc" TargetMode="External"/><Relationship Id="rId473" Type="http://schemas.openxmlformats.org/officeDocument/2006/relationships/hyperlink" Target="https://youtu.be/Bhos_P4a-JQ?t=854" TargetMode="External"/><Relationship Id="rId230" Type="http://schemas.openxmlformats.org/officeDocument/2006/relationships/hyperlink" Target="http://www.youtube.com/watch?v=CgjOzZ0EE9Y" TargetMode="External"/><Relationship Id="rId351" Type="http://schemas.openxmlformats.org/officeDocument/2006/relationships/hyperlink" Target="https://goo.gl/maps/Q2bid3b8xanaM1KW8" TargetMode="External"/><Relationship Id="rId472" Type="http://schemas.openxmlformats.org/officeDocument/2006/relationships/hyperlink" Target="https://youtu.be/Bhos_P4a-JQ?t=854" TargetMode="External"/><Relationship Id="rId350" Type="http://schemas.openxmlformats.org/officeDocument/2006/relationships/hyperlink" Target="https://www.youtube.com/watch?v=iRyXDCckvuc" TargetMode="External"/><Relationship Id="rId471" Type="http://schemas.openxmlformats.org/officeDocument/2006/relationships/hyperlink" Target="https://goo.gl/maps/RNtJjTPDUcCWG8xX7" TargetMode="External"/><Relationship Id="rId470" Type="http://schemas.openxmlformats.org/officeDocument/2006/relationships/hyperlink" Target="https://youtu.be/Bhos_P4a-JQ?t=854" TargetMode="External"/><Relationship Id="rId114" Type="http://schemas.openxmlformats.org/officeDocument/2006/relationships/hyperlink" Target="http://www.youtube.com/watch?v=bc5BnTYRgx8" TargetMode="External"/><Relationship Id="rId235" Type="http://schemas.openxmlformats.org/officeDocument/2006/relationships/hyperlink" Target="https://goo.gl/maps/TsXkckVxJ6ELfvp2A" TargetMode="External"/><Relationship Id="rId356" Type="http://schemas.openxmlformats.org/officeDocument/2006/relationships/hyperlink" Target="https://www.youtube.com/watch?v=kfe9hmwjOVQ" TargetMode="External"/><Relationship Id="rId477" Type="http://schemas.openxmlformats.org/officeDocument/2006/relationships/hyperlink" Target="https://goo.gl/maps/RNtJjTPDUcCWG8xX7" TargetMode="External"/><Relationship Id="rId113" Type="http://schemas.openxmlformats.org/officeDocument/2006/relationships/hyperlink" Target="http://www.youtube.com/watch?v=bc5BnTYRgx8" TargetMode="External"/><Relationship Id="rId234" Type="http://schemas.openxmlformats.org/officeDocument/2006/relationships/hyperlink" Target="http://www.youtube.com/watch?v=CgjOzZ0EE9Y" TargetMode="External"/><Relationship Id="rId355" Type="http://schemas.openxmlformats.org/officeDocument/2006/relationships/hyperlink" Target="https://goo.gl/maps/91Umqge2zPR5pKhd7" TargetMode="External"/><Relationship Id="rId476" Type="http://schemas.openxmlformats.org/officeDocument/2006/relationships/hyperlink" Target="https://youtu.be/Bhos_P4a-JQ?t=854" TargetMode="External"/><Relationship Id="rId112" Type="http://schemas.openxmlformats.org/officeDocument/2006/relationships/hyperlink" Target="http://www.youtube.com/watch?v=bc5BnTYRgx8" TargetMode="External"/><Relationship Id="rId233" Type="http://schemas.openxmlformats.org/officeDocument/2006/relationships/hyperlink" Target="http://www.youtube.com/watch?v=CgjOzZ0EE9Y" TargetMode="External"/><Relationship Id="rId354" Type="http://schemas.openxmlformats.org/officeDocument/2006/relationships/hyperlink" Target="https://www.youtube.com/watch?v=kfe9hmwjOVQ" TargetMode="External"/><Relationship Id="rId475" Type="http://schemas.openxmlformats.org/officeDocument/2006/relationships/hyperlink" Target="https://youtu.be/Bhos_P4a-JQ?t=854" TargetMode="External"/><Relationship Id="rId111" Type="http://schemas.openxmlformats.org/officeDocument/2006/relationships/hyperlink" Target="http://www.youtube.com/watch?v=rdeQT7KkqM8" TargetMode="External"/><Relationship Id="rId232" Type="http://schemas.openxmlformats.org/officeDocument/2006/relationships/hyperlink" Target="http://www.youtube.com/watch?v=CgjOzZ0EE9Y" TargetMode="External"/><Relationship Id="rId353" Type="http://schemas.openxmlformats.org/officeDocument/2006/relationships/hyperlink" Target="https://goo.gl/maps/febrD64p1piZ5hXn8" TargetMode="External"/><Relationship Id="rId474" Type="http://schemas.openxmlformats.org/officeDocument/2006/relationships/hyperlink" Target="https://goo.gl/maps/RNtJjTPDUcCWG8xX7" TargetMode="External"/><Relationship Id="rId305" Type="http://schemas.openxmlformats.org/officeDocument/2006/relationships/hyperlink" Target="https://goo.gl/maps/Tj8dsqCGK4nMBpNCA" TargetMode="External"/><Relationship Id="rId426" Type="http://schemas.openxmlformats.org/officeDocument/2006/relationships/hyperlink" Target="https://goo.gl/maps/dmiNKkbGVFzbfqJF8" TargetMode="External"/><Relationship Id="rId304" Type="http://schemas.openxmlformats.org/officeDocument/2006/relationships/hyperlink" Target="https://www.youtube.com/watch?v=YuCqyvBlcK8" TargetMode="External"/><Relationship Id="rId425" Type="http://schemas.openxmlformats.org/officeDocument/2006/relationships/hyperlink" Target="https://youtu.be/rRSOt9SpBMI?t=55" TargetMode="External"/><Relationship Id="rId303" Type="http://schemas.openxmlformats.org/officeDocument/2006/relationships/hyperlink" Target="https://goo.gl/maps/Ds5fPJzSARsYECL37" TargetMode="External"/><Relationship Id="rId424" Type="http://schemas.openxmlformats.org/officeDocument/2006/relationships/hyperlink" Target="https://youtu.be/rRSOt9SpBMI?t=55" TargetMode="External"/><Relationship Id="rId302" Type="http://schemas.openxmlformats.org/officeDocument/2006/relationships/hyperlink" Target="http://www.youtube.com/watch?v=xj-6hC5GFfI" TargetMode="External"/><Relationship Id="rId423" Type="http://schemas.openxmlformats.org/officeDocument/2006/relationships/hyperlink" Target="https://goo.gl/maps/tgbKTz1fa8i84SwU7" TargetMode="External"/><Relationship Id="rId309" Type="http://schemas.openxmlformats.org/officeDocument/2006/relationships/hyperlink" Target="https://goo.gl/maps/Lo2FpYRrxyw2VcyV6" TargetMode="External"/><Relationship Id="rId308" Type="http://schemas.openxmlformats.org/officeDocument/2006/relationships/hyperlink" Target="https://www.youtube.com/watch?v=YuCqyvBlcK8" TargetMode="External"/><Relationship Id="rId429" Type="http://schemas.openxmlformats.org/officeDocument/2006/relationships/hyperlink" Target="https://goo.gl/maps/99q2mZpg3BdD3K2W9" TargetMode="External"/><Relationship Id="rId307" Type="http://schemas.openxmlformats.org/officeDocument/2006/relationships/hyperlink" Target="https://g.page/BreakfastBySaltsCure?share" TargetMode="External"/><Relationship Id="rId428" Type="http://schemas.openxmlformats.org/officeDocument/2006/relationships/hyperlink" Target="https://youtu.be/rRSOt9SpBMI?t=320" TargetMode="External"/><Relationship Id="rId306" Type="http://schemas.openxmlformats.org/officeDocument/2006/relationships/hyperlink" Target="https://www.youtube.com/watch?v=YuCqyvBlcK8" TargetMode="External"/><Relationship Id="rId427" Type="http://schemas.openxmlformats.org/officeDocument/2006/relationships/hyperlink" Target="https://youtu.be/rRSOt9SpBMI?t=320" TargetMode="External"/><Relationship Id="rId301" Type="http://schemas.openxmlformats.org/officeDocument/2006/relationships/hyperlink" Target="https://g.page/americanbeautyla?share" TargetMode="External"/><Relationship Id="rId422" Type="http://schemas.openxmlformats.org/officeDocument/2006/relationships/hyperlink" Target="https://youtu.be/rRSOt9SpBMI?t=55" TargetMode="External"/><Relationship Id="rId300" Type="http://schemas.openxmlformats.org/officeDocument/2006/relationships/hyperlink" Target="http://www.youtube.com/watch?v=xj-6hC5GFfI" TargetMode="External"/><Relationship Id="rId421" Type="http://schemas.openxmlformats.org/officeDocument/2006/relationships/hyperlink" Target="https://youtu.be/rRSOt9SpBMI?t=55" TargetMode="External"/><Relationship Id="rId420" Type="http://schemas.openxmlformats.org/officeDocument/2006/relationships/hyperlink" Target="https://goo.gl/maps/tgbKTz1fa8i84SwU7" TargetMode="External"/><Relationship Id="rId415" Type="http://schemas.openxmlformats.org/officeDocument/2006/relationships/hyperlink" Target="https://goo.gl/maps/E4aaQXMmkojjqcuXA" TargetMode="External"/><Relationship Id="rId414" Type="http://schemas.openxmlformats.org/officeDocument/2006/relationships/hyperlink" Target="https://youtu.be/CmI2dXo14sY?t=577" TargetMode="External"/><Relationship Id="rId413" Type="http://schemas.openxmlformats.org/officeDocument/2006/relationships/hyperlink" Target="https://goo.gl/maps/RPQ51qQnoydGnnvR9" TargetMode="External"/><Relationship Id="rId412" Type="http://schemas.openxmlformats.org/officeDocument/2006/relationships/hyperlink" Target="https://youtu.be/CmI2dXo14sY?t=309" TargetMode="External"/><Relationship Id="rId419" Type="http://schemas.openxmlformats.org/officeDocument/2006/relationships/hyperlink" Target="https://youtu.be/rRSOt9SpBMI?t=55" TargetMode="External"/><Relationship Id="rId418" Type="http://schemas.openxmlformats.org/officeDocument/2006/relationships/hyperlink" Target="https://youtu.be/rRSOt9SpBMI?t=55" TargetMode="External"/><Relationship Id="rId417" Type="http://schemas.openxmlformats.org/officeDocument/2006/relationships/hyperlink" Target="https://goo.gl/maps/tgbKTz1fa8i84SwU7" TargetMode="External"/><Relationship Id="rId416" Type="http://schemas.openxmlformats.org/officeDocument/2006/relationships/hyperlink" Target="https://youtu.be/CmI2dXo14sY?t=687" TargetMode="External"/><Relationship Id="rId411" Type="http://schemas.openxmlformats.org/officeDocument/2006/relationships/hyperlink" Target="https://goo.gl/maps/qxFinmjhoh5hbs739" TargetMode="External"/><Relationship Id="rId410" Type="http://schemas.openxmlformats.org/officeDocument/2006/relationships/hyperlink" Target="https://www.citizenpublicmarket.com/" TargetMode="External"/><Relationship Id="rId206" Type="http://schemas.openxmlformats.org/officeDocument/2006/relationships/hyperlink" Target="https://g.page/tartine-bianco?share" TargetMode="External"/><Relationship Id="rId327" Type="http://schemas.openxmlformats.org/officeDocument/2006/relationships/hyperlink" Target="https://goo.gl/maps/KQrKbiYkUvanXceQ6" TargetMode="External"/><Relationship Id="rId448" Type="http://schemas.openxmlformats.org/officeDocument/2006/relationships/hyperlink" Target="https://youtu.be/Bhos_P4a-JQ?t=40" TargetMode="External"/><Relationship Id="rId205" Type="http://schemas.openxmlformats.org/officeDocument/2006/relationships/hyperlink" Target="http://www.youtube.com/watch?v=YqFen-4pUvw" TargetMode="External"/><Relationship Id="rId326" Type="http://schemas.openxmlformats.org/officeDocument/2006/relationships/hyperlink" Target="https://www.youtube.com/watch?v=ACKYhlBi98Q" TargetMode="External"/><Relationship Id="rId447" Type="http://schemas.openxmlformats.org/officeDocument/2006/relationships/hyperlink" Target="https://g.page/CochinitoLA?share" TargetMode="External"/><Relationship Id="rId204" Type="http://schemas.openxmlformats.org/officeDocument/2006/relationships/hyperlink" Target="https://goo.gl/maps/YGF9FUMDHoBpzjWY8" TargetMode="External"/><Relationship Id="rId325" Type="http://schemas.openxmlformats.org/officeDocument/2006/relationships/hyperlink" Target="https://goo.gl/maps/mRDg1F8cdA3Hx6pT8" TargetMode="External"/><Relationship Id="rId446" Type="http://schemas.openxmlformats.org/officeDocument/2006/relationships/hyperlink" Target="https://youtu.be/Bhos_P4a-JQ?t=40" TargetMode="External"/><Relationship Id="rId203" Type="http://schemas.openxmlformats.org/officeDocument/2006/relationships/hyperlink" Target="http://www.youtube.com/watch?v=YqFen-4pUvw" TargetMode="External"/><Relationship Id="rId324" Type="http://schemas.openxmlformats.org/officeDocument/2006/relationships/hyperlink" Target="https://www.youtube.com/watch?v=fYVouIyOXC0" TargetMode="External"/><Relationship Id="rId445" Type="http://schemas.openxmlformats.org/officeDocument/2006/relationships/hyperlink" Target="https://youtu.be/Bhos_P4a-JQ?t=40" TargetMode="External"/><Relationship Id="rId209" Type="http://schemas.openxmlformats.org/officeDocument/2006/relationships/hyperlink" Target="http://www.youtube.com/watch?v=LBJVq56fptQ" TargetMode="External"/><Relationship Id="rId208" Type="http://schemas.openxmlformats.org/officeDocument/2006/relationships/hyperlink" Target="https://g.page/tartine-bianco?share" TargetMode="External"/><Relationship Id="rId329" Type="http://schemas.openxmlformats.org/officeDocument/2006/relationships/hyperlink" Target="https://goo.gl/maps/KQrKbiYkUvanXceQ6" TargetMode="External"/><Relationship Id="rId207" Type="http://schemas.openxmlformats.org/officeDocument/2006/relationships/hyperlink" Target="http://www.youtube.com/watch?v=LBJVq56fptQ" TargetMode="External"/><Relationship Id="rId328" Type="http://schemas.openxmlformats.org/officeDocument/2006/relationships/hyperlink" Target="https://www.youtube.com/watch?v=ACKYhlBi98Q" TargetMode="External"/><Relationship Id="rId449" Type="http://schemas.openxmlformats.org/officeDocument/2006/relationships/hyperlink" Target="https://youtu.be/Bhos_P4a-JQ?t=40" TargetMode="External"/><Relationship Id="rId440" Type="http://schemas.openxmlformats.org/officeDocument/2006/relationships/hyperlink" Target="https://youtu.be/rRSOt9SpBMI?t=786" TargetMode="External"/><Relationship Id="rId202" Type="http://schemas.openxmlformats.org/officeDocument/2006/relationships/hyperlink" Target="https://goo.gl/maps/ut4kDwks1Bq1PwX46" TargetMode="External"/><Relationship Id="rId323" Type="http://schemas.openxmlformats.org/officeDocument/2006/relationships/hyperlink" Target="https://goo.gl/maps/KChT3JBNxbQNsNh99" TargetMode="External"/><Relationship Id="rId444" Type="http://schemas.openxmlformats.org/officeDocument/2006/relationships/hyperlink" Target="https://g.page/CochinitoLA?share" TargetMode="External"/><Relationship Id="rId201" Type="http://schemas.openxmlformats.org/officeDocument/2006/relationships/hyperlink" Target="http://www.youtube.com/watch?v=YqFen-4pUvw" TargetMode="External"/><Relationship Id="rId322" Type="http://schemas.openxmlformats.org/officeDocument/2006/relationships/hyperlink" Target="https://www.youtube.com/watch?v=fYVouIyOXC0" TargetMode="External"/><Relationship Id="rId443" Type="http://schemas.openxmlformats.org/officeDocument/2006/relationships/hyperlink" Target="https://youtu.be/Bhos_P4a-JQ?t=40" TargetMode="External"/><Relationship Id="rId200" Type="http://schemas.openxmlformats.org/officeDocument/2006/relationships/hyperlink" Target="https://goo.gl/maps/HjWSNh9uMKUe85x6A" TargetMode="External"/><Relationship Id="rId321" Type="http://schemas.openxmlformats.org/officeDocument/2006/relationships/hyperlink" Target="https://goo.gl/maps/KChT3JBNxbQNsNh99" TargetMode="External"/><Relationship Id="rId442" Type="http://schemas.openxmlformats.org/officeDocument/2006/relationships/hyperlink" Target="https://youtu.be/Bhos_P4a-JQ?t=40" TargetMode="External"/><Relationship Id="rId320" Type="http://schemas.openxmlformats.org/officeDocument/2006/relationships/hyperlink" Target="https://www.youtube.com/watch?v=fYVouIyOXC0" TargetMode="External"/><Relationship Id="rId441" Type="http://schemas.openxmlformats.org/officeDocument/2006/relationships/hyperlink" Target="https://g.page/CochinitoLA?share" TargetMode="External"/><Relationship Id="rId316" Type="http://schemas.openxmlformats.org/officeDocument/2006/relationships/hyperlink" Target="https://www.youtube.com/watch?v=fYVouIyOXC0" TargetMode="External"/><Relationship Id="rId437" Type="http://schemas.openxmlformats.org/officeDocument/2006/relationships/hyperlink" Target="https://youtu.be/rRSOt9SpBMI?t=786" TargetMode="External"/><Relationship Id="rId315" Type="http://schemas.openxmlformats.org/officeDocument/2006/relationships/hyperlink" Target="https://goo.gl/maps/hTr226ByvtFRZDLp6" TargetMode="External"/><Relationship Id="rId436" Type="http://schemas.openxmlformats.org/officeDocument/2006/relationships/hyperlink" Target="https://youtu.be/rRSOt9SpBMI?t=786" TargetMode="External"/><Relationship Id="rId314" Type="http://schemas.openxmlformats.org/officeDocument/2006/relationships/hyperlink" Target="https://www.youtube.com/watch?v=fYVouIyOXC0" TargetMode="External"/><Relationship Id="rId435" Type="http://schemas.openxmlformats.org/officeDocument/2006/relationships/hyperlink" Target="https://goo.gl/maps/99q2mZpg3BdD3K2W9" TargetMode="External"/><Relationship Id="rId313" Type="http://schemas.openxmlformats.org/officeDocument/2006/relationships/hyperlink" Target="https://goo.gl/maps/hTr226ByvtFRZDLp6" TargetMode="External"/><Relationship Id="rId434" Type="http://schemas.openxmlformats.org/officeDocument/2006/relationships/hyperlink" Target="https://youtu.be/rRSOt9SpBMI?t=786" TargetMode="External"/><Relationship Id="rId319" Type="http://schemas.openxmlformats.org/officeDocument/2006/relationships/hyperlink" Target="https://goo.gl/maps/KChT3JBNxbQNsNh99" TargetMode="External"/><Relationship Id="rId318" Type="http://schemas.openxmlformats.org/officeDocument/2006/relationships/hyperlink" Target="https://www.youtube.com/watch?v=fYVouIyOXC0" TargetMode="External"/><Relationship Id="rId439" Type="http://schemas.openxmlformats.org/officeDocument/2006/relationships/hyperlink" Target="https://youtu.be/rRSOt9SpBMI?t=786" TargetMode="External"/><Relationship Id="rId317" Type="http://schemas.openxmlformats.org/officeDocument/2006/relationships/hyperlink" Target="https://goo.gl/maps/hTr226ByvtFRZDLp6" TargetMode="External"/><Relationship Id="rId438" Type="http://schemas.openxmlformats.org/officeDocument/2006/relationships/hyperlink" Target="https://goo.gl/maps/99q2mZpg3BdD3K2W9" TargetMode="External"/><Relationship Id="rId312" Type="http://schemas.openxmlformats.org/officeDocument/2006/relationships/hyperlink" Target="https://www.youtube.com/watch?v=fYVouIyOXC0" TargetMode="External"/><Relationship Id="rId433" Type="http://schemas.openxmlformats.org/officeDocument/2006/relationships/hyperlink" Target="https://youtu.be/rRSOt9SpBMI?t=786" TargetMode="External"/><Relationship Id="rId311" Type="http://schemas.openxmlformats.org/officeDocument/2006/relationships/hyperlink" Target="https://goo.gl/maps/Lo2FpYRrxyw2VcyV6" TargetMode="External"/><Relationship Id="rId432" Type="http://schemas.openxmlformats.org/officeDocument/2006/relationships/hyperlink" Target="https://goo.gl/maps/99q2mZpg3BdD3K2W9" TargetMode="External"/><Relationship Id="rId310" Type="http://schemas.openxmlformats.org/officeDocument/2006/relationships/hyperlink" Target="https://www.youtube.com/watch?v=fYVouIyOXC0" TargetMode="External"/><Relationship Id="rId431" Type="http://schemas.openxmlformats.org/officeDocument/2006/relationships/hyperlink" Target="https://youtu.be/rRSOt9SpBMI?t=786" TargetMode="External"/><Relationship Id="rId430" Type="http://schemas.openxmlformats.org/officeDocument/2006/relationships/hyperlink" Target="https://youtu.be/rRSOt9SpBMI?t=78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reddit.com/user/pauseforasecond/"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75"/>
    <col customWidth="1" min="2" max="2" width="26.25"/>
    <col customWidth="1" min="3" max="3" width="12.25"/>
    <col customWidth="1" min="4" max="4" width="7.13"/>
    <col customWidth="1" min="5" max="5" width="10.0"/>
    <col customWidth="1" min="6" max="6" width="19.75"/>
    <col customWidth="1" min="7" max="7" width="7.38"/>
    <col customWidth="1" min="8" max="8" width="11.5"/>
    <col customWidth="1" min="9" max="9" width="8.25"/>
    <col customWidth="1" min="10" max="10" width="13.63"/>
    <col customWidth="1" min="11" max="11" width="9.13"/>
    <col customWidth="1" min="12" max="12" width="7.88"/>
    <col customWidth="1" min="13" max="13" width="100.75"/>
    <col customWidth="1" min="14" max="14" width="7.0"/>
    <col customWidth="1" min="15" max="15" width="20.5"/>
    <col customWidth="1" min="16" max="17" width="1.88"/>
    <col customWidth="1" min="18" max="18" width="30.13"/>
    <col customWidth="1" min="19" max="22" width="100.75"/>
  </cols>
  <sheetData>
    <row r="1">
      <c r="A1" s="1" t="s">
        <v>0</v>
      </c>
      <c r="B1" s="1" t="s">
        <v>1</v>
      </c>
      <c r="C1" s="1" t="s">
        <v>2</v>
      </c>
      <c r="D1" s="1" t="s">
        <v>3</v>
      </c>
      <c r="E1" s="1" t="s">
        <v>4</v>
      </c>
      <c r="F1" s="2" t="s">
        <v>5</v>
      </c>
      <c r="G1" s="3" t="s">
        <v>7</v>
      </c>
      <c r="H1" s="1" t="s">
        <v>8</v>
      </c>
      <c r="I1" s="1" t="s">
        <v>9</v>
      </c>
      <c r="J1" s="4" t="s">
        <v>10</v>
      </c>
      <c r="K1" s="1" t="s">
        <v>11</v>
      </c>
      <c r="L1" s="2" t="s">
        <v>12</v>
      </c>
      <c r="M1" s="1" t="s">
        <v>13</v>
      </c>
      <c r="N1" s="1"/>
      <c r="O1" s="1"/>
      <c r="P1" s="1"/>
      <c r="Q1" s="1"/>
      <c r="R1" s="1"/>
      <c r="S1" s="1"/>
      <c r="T1" s="1"/>
      <c r="U1" s="1"/>
      <c r="V1" s="1"/>
    </row>
    <row r="2">
      <c r="A2" s="6" t="str">
        <f>HYPERLINK("http://www.hamasakula.com/","Hamasaku")</f>
        <v>Hamasaku</v>
      </c>
      <c r="B2" s="7" t="s">
        <v>20</v>
      </c>
      <c r="C2" s="2" t="s">
        <v>21</v>
      </c>
      <c r="D2" s="2">
        <v>1.0</v>
      </c>
      <c r="E2" s="2">
        <v>1.0</v>
      </c>
      <c r="F2" s="9" t="s">
        <v>23</v>
      </c>
      <c r="G2" s="10" t="s">
        <v>25</v>
      </c>
      <c r="H2" s="11" t="s">
        <v>27</v>
      </c>
      <c r="I2" s="13" t="s">
        <v>28</v>
      </c>
      <c r="J2" s="14">
        <v>42631.0</v>
      </c>
      <c r="K2" s="11" t="s">
        <v>30</v>
      </c>
      <c r="L2" s="9"/>
      <c r="M2" s="2" t="s">
        <v>31</v>
      </c>
      <c r="N2" s="15"/>
      <c r="O2" s="15"/>
      <c r="P2" s="15"/>
      <c r="Q2" s="15"/>
      <c r="R2" s="15"/>
      <c r="S2" s="15"/>
      <c r="T2" s="15"/>
      <c r="U2" s="15"/>
      <c r="V2" s="15"/>
    </row>
    <row r="3">
      <c r="A3" s="16" t="s">
        <v>32</v>
      </c>
      <c r="B3" s="7" t="s">
        <v>20</v>
      </c>
      <c r="C3" s="2" t="s">
        <v>33</v>
      </c>
      <c r="D3" s="2">
        <v>1.0</v>
      </c>
      <c r="E3" s="2">
        <v>1.0</v>
      </c>
      <c r="F3" s="9" t="s">
        <v>34</v>
      </c>
      <c r="G3" s="10" t="s">
        <v>35</v>
      </c>
      <c r="H3" s="18" t="s">
        <v>36</v>
      </c>
      <c r="I3" s="13" t="s">
        <v>28</v>
      </c>
      <c r="J3" s="14">
        <v>42631.0</v>
      </c>
      <c r="K3" s="2" t="s">
        <v>37</v>
      </c>
      <c r="L3" s="9">
        <v>1.0</v>
      </c>
      <c r="M3" s="2" t="s">
        <v>38</v>
      </c>
      <c r="N3" s="15"/>
      <c r="O3" s="15"/>
      <c r="P3" s="15"/>
      <c r="Q3" s="15"/>
      <c r="R3" s="15"/>
      <c r="S3" s="15"/>
      <c r="T3" s="15"/>
      <c r="U3" s="15"/>
      <c r="V3" s="15"/>
    </row>
    <row r="4">
      <c r="A4" s="6" t="str">
        <f>HYPERLINK("https://sushistop.com/","Sushi Stop")</f>
        <v>Sushi Stop</v>
      </c>
      <c r="B4" s="7" t="s">
        <v>20</v>
      </c>
      <c r="C4" s="2" t="s">
        <v>41</v>
      </c>
      <c r="D4" s="2">
        <v>1.0</v>
      </c>
      <c r="E4" s="2">
        <v>1.0</v>
      </c>
      <c r="F4" s="2" t="s">
        <v>42</v>
      </c>
      <c r="G4" s="10" t="s">
        <v>43</v>
      </c>
      <c r="H4" s="11" t="s">
        <v>44</v>
      </c>
      <c r="I4" s="13" t="s">
        <v>28</v>
      </c>
      <c r="J4" s="14">
        <v>42631.0</v>
      </c>
      <c r="K4" s="2" t="s">
        <v>37</v>
      </c>
      <c r="L4" s="9">
        <v>1.0</v>
      </c>
      <c r="M4" s="15"/>
      <c r="N4" s="2"/>
      <c r="O4" s="2"/>
      <c r="P4" s="2"/>
      <c r="Q4" s="2"/>
      <c r="R4" s="2"/>
      <c r="S4" s="2"/>
      <c r="T4" s="2"/>
      <c r="U4" s="2"/>
      <c r="V4" s="2"/>
    </row>
    <row r="5">
      <c r="A5" s="6" t="str">
        <f>HYPERLINK("https://www.caesars.com/paris-las-vegas/restaurants/burger-brasserie","Burger Brasserie")</f>
        <v>Burger Brasserie</v>
      </c>
      <c r="B5" s="7" t="s">
        <v>45</v>
      </c>
      <c r="C5" s="2" t="s">
        <v>33</v>
      </c>
      <c r="D5" s="2">
        <v>1.0</v>
      </c>
      <c r="E5" s="2">
        <v>2.0</v>
      </c>
      <c r="F5" s="9" t="s">
        <v>46</v>
      </c>
      <c r="G5" s="10" t="s">
        <v>47</v>
      </c>
      <c r="H5" s="11" t="s">
        <v>48</v>
      </c>
      <c r="I5" s="13" t="s">
        <v>49</v>
      </c>
      <c r="J5" s="14">
        <v>42638.0</v>
      </c>
      <c r="K5" s="11" t="s">
        <v>30</v>
      </c>
      <c r="L5" s="9">
        <v>1.0</v>
      </c>
      <c r="M5" s="15"/>
      <c r="N5" s="15"/>
      <c r="O5" s="15"/>
      <c r="P5" s="15"/>
      <c r="Q5" s="15"/>
      <c r="R5" s="15"/>
      <c r="S5" s="15"/>
      <c r="T5" s="15"/>
      <c r="U5" s="15"/>
      <c r="V5" s="15"/>
    </row>
    <row r="6">
      <c r="A6" s="6" t="str">
        <f>HYPERLINK("https://www.caesars.com/planet-hollywood/restaurants/ramsay","Gordon Ramsay Burger")</f>
        <v>Gordon Ramsay Burger</v>
      </c>
      <c r="B6" s="7" t="s">
        <v>45</v>
      </c>
      <c r="C6" s="2" t="s">
        <v>21</v>
      </c>
      <c r="D6" s="2">
        <v>1.0</v>
      </c>
      <c r="E6" s="2">
        <v>2.0</v>
      </c>
      <c r="F6" s="9" t="s">
        <v>53</v>
      </c>
      <c r="G6" s="10" t="s">
        <v>54</v>
      </c>
      <c r="H6" s="11" t="s">
        <v>55</v>
      </c>
      <c r="I6" s="13" t="s">
        <v>49</v>
      </c>
      <c r="J6" s="14">
        <v>42638.0</v>
      </c>
      <c r="K6" s="11" t="s">
        <v>30</v>
      </c>
      <c r="L6" s="9">
        <v>1.0</v>
      </c>
      <c r="M6" s="15"/>
      <c r="N6" s="2"/>
      <c r="O6" s="2"/>
      <c r="P6" s="2"/>
      <c r="Q6" s="2"/>
      <c r="R6" s="2"/>
      <c r="S6" s="2"/>
      <c r="T6" s="2"/>
      <c r="U6" s="2"/>
      <c r="V6" s="2"/>
    </row>
    <row r="7">
      <c r="A7" s="6" t="str">
        <f>HYPERLINK("https://www.habitburger.com/","Habit Burger")</f>
        <v>Habit Burger</v>
      </c>
      <c r="B7" s="7" t="s">
        <v>45</v>
      </c>
      <c r="C7" s="2" t="s">
        <v>41</v>
      </c>
      <c r="D7" s="2">
        <v>1.0</v>
      </c>
      <c r="E7" s="2">
        <v>2.0</v>
      </c>
      <c r="F7" s="9" t="s">
        <v>56</v>
      </c>
      <c r="G7" s="10" t="s">
        <v>58</v>
      </c>
      <c r="H7" s="19" t="s">
        <v>59</v>
      </c>
      <c r="I7" s="13" t="s">
        <v>49</v>
      </c>
      <c r="J7" s="14">
        <v>42638.0</v>
      </c>
      <c r="K7" s="2" t="s">
        <v>37</v>
      </c>
      <c r="L7" s="9"/>
      <c r="M7" s="15"/>
      <c r="N7" s="15"/>
      <c r="O7" s="15"/>
      <c r="P7" s="15"/>
      <c r="Q7" s="15"/>
      <c r="R7" s="15"/>
      <c r="S7" s="15"/>
      <c r="T7" s="15"/>
      <c r="U7" s="15"/>
      <c r="V7" s="15"/>
    </row>
    <row r="8">
      <c r="A8" s="6" t="str">
        <f>HYPERLINK("https://www.blazepizza.com/locations/los-angeles-usc/","Blaze Pizza")</f>
        <v>Blaze Pizza</v>
      </c>
      <c r="B8" s="7" t="s">
        <v>61</v>
      </c>
      <c r="C8" s="2" t="s">
        <v>41</v>
      </c>
      <c r="D8" s="2">
        <v>1.0</v>
      </c>
      <c r="E8" s="2">
        <v>3.0</v>
      </c>
      <c r="F8" s="2" t="s">
        <v>62</v>
      </c>
      <c r="G8" s="10" t="s">
        <v>63</v>
      </c>
      <c r="H8" s="11" t="s">
        <v>64</v>
      </c>
      <c r="I8" s="13" t="s">
        <v>65</v>
      </c>
      <c r="J8" s="14">
        <v>42645.0</v>
      </c>
      <c r="K8" s="2" t="s">
        <v>37</v>
      </c>
      <c r="L8" s="9"/>
      <c r="M8" s="15"/>
      <c r="N8" s="2"/>
      <c r="O8" s="2"/>
      <c r="P8" s="2"/>
      <c r="Q8" s="2"/>
      <c r="R8" s="2"/>
      <c r="S8" s="2"/>
      <c r="T8" s="2"/>
      <c r="U8" s="2"/>
      <c r="V8" s="2"/>
    </row>
    <row r="9">
      <c r="A9" s="6" t="str">
        <f>HYPERLINK("https://pizzeriamozza.com/","Pizzeria Mozza")</f>
        <v>Pizzeria Mozza</v>
      </c>
      <c r="B9" s="7" t="s">
        <v>61</v>
      </c>
      <c r="C9" s="2" t="s">
        <v>21</v>
      </c>
      <c r="D9" s="2">
        <v>1.0</v>
      </c>
      <c r="E9" s="2">
        <v>3.0</v>
      </c>
      <c r="F9" s="9" t="s">
        <v>68</v>
      </c>
      <c r="G9" s="10" t="s">
        <v>69</v>
      </c>
      <c r="H9" s="11" t="s">
        <v>70</v>
      </c>
      <c r="I9" s="13" t="s">
        <v>65</v>
      </c>
      <c r="J9" s="14">
        <v>42645.0</v>
      </c>
      <c r="K9" s="11" t="s">
        <v>30</v>
      </c>
      <c r="L9" s="9">
        <v>2.0</v>
      </c>
      <c r="M9" s="15"/>
      <c r="N9" s="15"/>
      <c r="O9" s="15"/>
      <c r="P9" s="15"/>
      <c r="Q9" s="15"/>
      <c r="R9" s="15"/>
      <c r="S9" s="15"/>
      <c r="T9" s="15"/>
      <c r="U9" s="15"/>
      <c r="V9" s="15"/>
    </row>
    <row r="10">
      <c r="A10" s="6" t="str">
        <f>HYPERLINK("www.wolfgangpuck.com/dining/spago/","Spago")</f>
        <v>Spago</v>
      </c>
      <c r="B10" s="20" t="s">
        <v>71</v>
      </c>
      <c r="C10" s="2" t="s">
        <v>33</v>
      </c>
      <c r="D10" s="2" t="s">
        <v>72</v>
      </c>
      <c r="E10" s="2" t="s">
        <v>73</v>
      </c>
      <c r="F10" s="2" t="s">
        <v>74</v>
      </c>
      <c r="G10" s="10" t="s">
        <v>75</v>
      </c>
      <c r="H10" s="11" t="s">
        <v>77</v>
      </c>
      <c r="I10" s="21" t="s">
        <v>78</v>
      </c>
      <c r="J10" s="20" t="s">
        <v>79</v>
      </c>
      <c r="K10" s="11" t="s">
        <v>30</v>
      </c>
      <c r="L10" s="2">
        <v>1.0</v>
      </c>
      <c r="M10" s="2" t="s">
        <v>80</v>
      </c>
      <c r="N10" s="2"/>
      <c r="O10" s="2"/>
      <c r="P10" s="2"/>
      <c r="Q10" s="2"/>
      <c r="R10" s="2"/>
      <c r="S10" s="2"/>
      <c r="T10" s="2"/>
      <c r="U10" s="2"/>
      <c r="V10" s="2"/>
    </row>
    <row r="11">
      <c r="A11" s="6" t="str">
        <f>HYPERLINK("http://wolfgangpuck.com/dining/cut-beverly-hills/","CUT")</f>
        <v>CUT</v>
      </c>
      <c r="B11" s="7" t="s">
        <v>82</v>
      </c>
      <c r="C11" s="2" t="s">
        <v>33</v>
      </c>
      <c r="D11" s="2">
        <v>1.0</v>
      </c>
      <c r="E11" s="2">
        <v>4.0</v>
      </c>
      <c r="F11" s="9" t="s">
        <v>83</v>
      </c>
      <c r="G11" s="10" t="s">
        <v>84</v>
      </c>
      <c r="H11" s="11" t="s">
        <v>85</v>
      </c>
      <c r="I11" s="13" t="s">
        <v>86</v>
      </c>
      <c r="J11" s="14">
        <v>42659.0</v>
      </c>
      <c r="K11" s="11" t="s">
        <v>30</v>
      </c>
      <c r="L11" s="9">
        <v>1.0</v>
      </c>
      <c r="M11" s="15"/>
      <c r="N11" s="2"/>
      <c r="O11" s="2"/>
      <c r="P11" s="2"/>
      <c r="Q11" s="2"/>
      <c r="R11" s="2"/>
      <c r="S11" s="2"/>
      <c r="T11" s="2"/>
      <c r="U11" s="2"/>
      <c r="V11" s="2"/>
    </row>
    <row r="12">
      <c r="A12" s="6" t="str">
        <f>HYPERLINK("https://www.patinagroup.com/nick-and-stefs-steakhouse-la","Nick &amp; Stef's Steakhouse")</f>
        <v>Nick &amp; Stef's Steakhouse</v>
      </c>
      <c r="B12" s="7" t="s">
        <v>82</v>
      </c>
      <c r="C12" s="2" t="s">
        <v>21</v>
      </c>
      <c r="D12" s="2">
        <v>1.0</v>
      </c>
      <c r="E12" s="2">
        <v>4.0</v>
      </c>
      <c r="F12" s="9" t="s">
        <v>89</v>
      </c>
      <c r="G12" s="10" t="s">
        <v>90</v>
      </c>
      <c r="H12" s="11" t="s">
        <v>91</v>
      </c>
      <c r="I12" s="13" t="s">
        <v>86</v>
      </c>
      <c r="J12" s="14">
        <v>42659.0</v>
      </c>
      <c r="K12" s="11" t="s">
        <v>30</v>
      </c>
      <c r="L12" s="9">
        <v>1.0</v>
      </c>
      <c r="M12" s="15"/>
      <c r="N12" s="15"/>
      <c r="O12" s="15"/>
      <c r="P12" s="15"/>
      <c r="Q12" s="15"/>
      <c r="R12" s="15"/>
      <c r="S12" s="15"/>
      <c r="T12" s="15"/>
      <c r="U12" s="15"/>
      <c r="V12" s="15"/>
    </row>
    <row r="13">
      <c r="A13" s="6" t="str">
        <f>HYPERLINK("https://unclejohnsdtla.com/","Uncle John's Cafe")</f>
        <v>Uncle John's Cafe</v>
      </c>
      <c r="B13" s="7" t="s">
        <v>82</v>
      </c>
      <c r="C13" s="2" t="s">
        <v>41</v>
      </c>
      <c r="D13" s="2">
        <v>1.0</v>
      </c>
      <c r="E13" s="2">
        <v>4.0</v>
      </c>
      <c r="F13" s="9" t="s">
        <v>92</v>
      </c>
      <c r="G13" s="10" t="s">
        <v>93</v>
      </c>
      <c r="H13" s="11" t="s">
        <v>94</v>
      </c>
      <c r="I13" s="13" t="s">
        <v>86</v>
      </c>
      <c r="J13" s="14">
        <v>42659.0</v>
      </c>
      <c r="K13" s="11" t="s">
        <v>30</v>
      </c>
      <c r="L13" s="9">
        <v>1.0</v>
      </c>
      <c r="M13" s="15"/>
      <c r="N13" s="2"/>
      <c r="O13" s="2"/>
      <c r="P13" s="2"/>
      <c r="Q13" s="2"/>
      <c r="R13" s="2"/>
      <c r="S13" s="2"/>
      <c r="T13" s="2"/>
      <c r="U13" s="2"/>
      <c r="V13" s="2"/>
    </row>
    <row r="14">
      <c r="A14" s="6" t="str">
        <f>HYPERLINK("http://lepetitparisla.com/","Le Petit Paris")</f>
        <v>Le Petit Paris</v>
      </c>
      <c r="B14" s="7" t="s">
        <v>95</v>
      </c>
      <c r="C14" s="2" t="s">
        <v>33</v>
      </c>
      <c r="D14" s="2">
        <v>1.0</v>
      </c>
      <c r="E14" s="2">
        <v>5.0</v>
      </c>
      <c r="F14" s="9" t="s">
        <v>96</v>
      </c>
      <c r="G14" s="10" t="s">
        <v>97</v>
      </c>
      <c r="H14" s="11" t="s">
        <v>98</v>
      </c>
      <c r="I14" s="13" t="s">
        <v>99</v>
      </c>
      <c r="J14" s="14">
        <v>42673.0</v>
      </c>
      <c r="K14" s="11" t="s">
        <v>30</v>
      </c>
      <c r="L14" s="9"/>
      <c r="M14" s="15"/>
      <c r="N14" s="15"/>
      <c r="O14" s="15"/>
      <c r="P14" s="15"/>
      <c r="Q14" s="15"/>
      <c r="R14" s="15"/>
      <c r="S14" s="15"/>
      <c r="T14" s="15"/>
      <c r="U14" s="15"/>
      <c r="V14" s="15"/>
    </row>
    <row r="15">
      <c r="A15" s="6" t="str">
        <f>HYPERLINK("https://www.osteriamamma.com/","Osteria Mamma")</f>
        <v>Osteria Mamma</v>
      </c>
      <c r="B15" s="7" t="s">
        <v>95</v>
      </c>
      <c r="C15" s="2" t="s">
        <v>21</v>
      </c>
      <c r="D15" s="2">
        <v>1.0</v>
      </c>
      <c r="E15" s="2">
        <v>5.0</v>
      </c>
      <c r="F15" s="2" t="s">
        <v>101</v>
      </c>
      <c r="G15" s="10" t="s">
        <v>102</v>
      </c>
      <c r="H15" s="11" t="s">
        <v>103</v>
      </c>
      <c r="I15" s="13" t="s">
        <v>99</v>
      </c>
      <c r="J15" s="14">
        <v>42673.0</v>
      </c>
      <c r="K15" s="11" t="s">
        <v>30</v>
      </c>
      <c r="L15" s="9"/>
      <c r="M15" s="15"/>
      <c r="N15" s="2"/>
      <c r="O15" s="2"/>
      <c r="P15" s="2"/>
      <c r="Q15" s="2"/>
      <c r="R15" s="2"/>
      <c r="S15" s="2"/>
      <c r="T15" s="2"/>
      <c r="U15" s="2"/>
      <c r="V15" s="2"/>
    </row>
    <row r="16">
      <c r="A16" s="6" t="str">
        <f>HYPERLINK("https://www.pastasisters.com/","Pasta Sisters")</f>
        <v>Pasta Sisters</v>
      </c>
      <c r="B16" s="7" t="s">
        <v>95</v>
      </c>
      <c r="C16" s="2" t="s">
        <v>41</v>
      </c>
      <c r="D16" s="2">
        <v>1.0</v>
      </c>
      <c r="E16" s="2">
        <v>5.0</v>
      </c>
      <c r="F16" s="2" t="s">
        <v>105</v>
      </c>
      <c r="G16" s="10" t="s">
        <v>106</v>
      </c>
      <c r="H16" s="11" t="s">
        <v>107</v>
      </c>
      <c r="I16" s="13" t="s">
        <v>99</v>
      </c>
      <c r="J16" s="14">
        <v>42673.0</v>
      </c>
      <c r="K16" s="2" t="s">
        <v>37</v>
      </c>
      <c r="L16" s="9">
        <v>3.0</v>
      </c>
      <c r="M16" s="15"/>
      <c r="N16" s="2"/>
      <c r="O16" s="2"/>
      <c r="P16" s="2"/>
      <c r="Q16" s="2"/>
      <c r="R16" s="2"/>
      <c r="S16" s="2"/>
      <c r="T16" s="2"/>
      <c r="U16" s="2"/>
      <c r="V16" s="2"/>
    </row>
    <row r="17">
      <c r="A17" s="6" t="str">
        <f>HYPERLINK("https://www.tokyodog.com/","CLOSED Tokyo Dog")</f>
        <v>CLOSED Tokyo Dog</v>
      </c>
      <c r="B17" s="7" t="s">
        <v>109</v>
      </c>
      <c r="C17" s="2" t="s">
        <v>33</v>
      </c>
      <c r="D17" s="2">
        <v>1.0</v>
      </c>
      <c r="E17" s="2">
        <v>6.0</v>
      </c>
      <c r="F17" s="9" t="s">
        <v>110</v>
      </c>
      <c r="G17" s="10" t="s">
        <v>111</v>
      </c>
      <c r="H17" s="11" t="s">
        <v>112</v>
      </c>
      <c r="I17" s="13" t="s">
        <v>113</v>
      </c>
      <c r="J17" s="14">
        <v>42693.0</v>
      </c>
      <c r="K17" s="11" t="s">
        <v>30</v>
      </c>
      <c r="L17" s="9">
        <v>1.0</v>
      </c>
      <c r="M17" s="15"/>
      <c r="N17" s="15"/>
      <c r="O17" s="15"/>
      <c r="P17" s="15"/>
      <c r="Q17" s="15"/>
      <c r="R17" s="15"/>
      <c r="S17" s="15"/>
      <c r="T17" s="15"/>
      <c r="U17" s="15"/>
      <c r="V17" s="15"/>
    </row>
    <row r="18">
      <c r="A18" s="6" t="str">
        <f>HYPERLINK("http://www.emeraldcityfishandchips.com/","Emerald City Fish &amp; Chips")</f>
        <v>Emerald City Fish &amp; Chips</v>
      </c>
      <c r="B18" s="22" t="s">
        <v>116</v>
      </c>
      <c r="C18" s="2" t="s">
        <v>41</v>
      </c>
      <c r="D18" s="2">
        <v>1.0</v>
      </c>
      <c r="E18" s="2">
        <v>7.0</v>
      </c>
      <c r="F18" s="9" t="s">
        <v>117</v>
      </c>
      <c r="G18" s="10" t="s">
        <v>118</v>
      </c>
      <c r="H18" s="11" t="s">
        <v>119</v>
      </c>
      <c r="I18" s="13" t="s">
        <v>113</v>
      </c>
      <c r="J18" s="14">
        <v>42693.0</v>
      </c>
      <c r="K18" s="11" t="s">
        <v>30</v>
      </c>
      <c r="L18" s="9">
        <v>2.0</v>
      </c>
      <c r="M18" s="15"/>
      <c r="N18" s="15"/>
      <c r="O18" s="15"/>
      <c r="P18" s="15"/>
      <c r="Q18" s="15"/>
      <c r="R18" s="15"/>
      <c r="S18" s="15"/>
      <c r="T18" s="15"/>
      <c r="U18" s="15"/>
      <c r="V18" s="15"/>
    </row>
    <row r="19">
      <c r="A19" s="6" t="str">
        <f>HYPERLINK("https://www.ivars.com/locations/salmon-house","Ivar's Salmon House")</f>
        <v>Ivar's Salmon House</v>
      </c>
      <c r="B19" s="22" t="s">
        <v>116</v>
      </c>
      <c r="C19" s="2" t="s">
        <v>21</v>
      </c>
      <c r="D19" s="2">
        <v>1.0</v>
      </c>
      <c r="E19" s="2">
        <v>7.0</v>
      </c>
      <c r="F19" s="9" t="s">
        <v>120</v>
      </c>
      <c r="G19" s="10" t="s">
        <v>121</v>
      </c>
      <c r="H19" s="11" t="s">
        <v>122</v>
      </c>
      <c r="I19" s="13" t="s">
        <v>113</v>
      </c>
      <c r="J19" s="14">
        <v>42693.0</v>
      </c>
      <c r="K19" s="11" t="s">
        <v>30</v>
      </c>
      <c r="L19" s="9"/>
      <c r="M19" s="15"/>
      <c r="N19" s="15"/>
      <c r="O19" s="15"/>
      <c r="P19" s="15"/>
      <c r="Q19" s="15"/>
      <c r="R19" s="15"/>
      <c r="S19" s="15"/>
      <c r="T19" s="15"/>
      <c r="U19" s="15"/>
      <c r="V19" s="15"/>
    </row>
    <row r="20">
      <c r="A20" s="6" t="str">
        <f>HYPERLINK("https://viciousdogshotdogs.com/","Vicious Dogs")</f>
        <v>Vicious Dogs</v>
      </c>
      <c r="B20" s="7" t="s">
        <v>109</v>
      </c>
      <c r="C20" s="2" t="s">
        <v>41</v>
      </c>
      <c r="D20" s="2">
        <v>1.0</v>
      </c>
      <c r="E20" s="2">
        <v>6.0</v>
      </c>
      <c r="F20" s="2" t="s">
        <v>123</v>
      </c>
      <c r="G20" s="10" t="s">
        <v>124</v>
      </c>
      <c r="H20" s="11" t="s">
        <v>125</v>
      </c>
      <c r="I20" s="13" t="s">
        <v>113</v>
      </c>
      <c r="J20" s="14">
        <v>42693.0</v>
      </c>
      <c r="K20" s="11" t="s">
        <v>30</v>
      </c>
      <c r="L20" s="9"/>
      <c r="M20" s="15"/>
      <c r="N20" s="15"/>
      <c r="O20" s="15"/>
      <c r="P20" s="15"/>
      <c r="Q20" s="15"/>
      <c r="R20" s="15"/>
      <c r="S20" s="15"/>
      <c r="T20" s="15"/>
      <c r="U20" s="15"/>
      <c r="V20" s="15"/>
    </row>
    <row r="21">
      <c r="A21" s="6" t="str">
        <f>HYPERLINK("https://www.wurstkuche.com/","Wurstküche")</f>
        <v>Wurstküche</v>
      </c>
      <c r="B21" s="7" t="s">
        <v>109</v>
      </c>
      <c r="C21" s="2" t="s">
        <v>21</v>
      </c>
      <c r="D21" s="2">
        <v>1.0</v>
      </c>
      <c r="E21" s="2">
        <v>6.0</v>
      </c>
      <c r="F21" s="2" t="s">
        <v>127</v>
      </c>
      <c r="G21" s="10" t="s">
        <v>128</v>
      </c>
      <c r="H21" s="11" t="s">
        <v>129</v>
      </c>
      <c r="I21" s="13" t="s">
        <v>113</v>
      </c>
      <c r="J21" s="14">
        <v>42693.0</v>
      </c>
      <c r="K21" s="2" t="s">
        <v>37</v>
      </c>
      <c r="L21" s="9">
        <v>1.0</v>
      </c>
      <c r="M21" s="15"/>
      <c r="N21" s="15"/>
      <c r="O21" s="15"/>
      <c r="P21" s="15"/>
      <c r="Q21" s="15"/>
      <c r="R21" s="15"/>
      <c r="S21" s="15"/>
      <c r="T21" s="15"/>
      <c r="U21" s="15"/>
      <c r="V21" s="15"/>
    </row>
    <row r="22">
      <c r="A22" s="6" t="str">
        <f>HYPERLINK("https://elgaucho.com/dine/aqua/","Aqua By El Gaucho")</f>
        <v>Aqua By El Gaucho</v>
      </c>
      <c r="B22" s="22" t="s">
        <v>116</v>
      </c>
      <c r="C22" s="2" t="s">
        <v>33</v>
      </c>
      <c r="D22" s="2">
        <v>1.0</v>
      </c>
      <c r="E22" s="2">
        <v>7.0</v>
      </c>
      <c r="F22" s="9" t="s">
        <v>130</v>
      </c>
      <c r="G22" s="10" t="s">
        <v>131</v>
      </c>
      <c r="H22" s="11" t="s">
        <v>133</v>
      </c>
      <c r="I22" s="13" t="s">
        <v>134</v>
      </c>
      <c r="J22" s="14">
        <v>42708.0</v>
      </c>
      <c r="K22" s="11" t="s">
        <v>30</v>
      </c>
      <c r="L22" s="9"/>
      <c r="M22" s="15"/>
      <c r="N22" s="15"/>
      <c r="O22" s="15"/>
      <c r="P22" s="15"/>
      <c r="Q22" s="15"/>
      <c r="R22" s="15"/>
      <c r="S22" s="15"/>
      <c r="T22" s="15"/>
      <c r="U22" s="15"/>
      <c r="V22" s="15"/>
    </row>
    <row r="23">
      <c r="A23" s="6" t="str">
        <f>HYPERLINK("https://chosungalbee.com/","Chosun Galbee")</f>
        <v>Chosun Galbee</v>
      </c>
      <c r="B23" s="22" t="s">
        <v>136</v>
      </c>
      <c r="C23" s="2" t="s">
        <v>33</v>
      </c>
      <c r="D23" s="2">
        <v>1.0</v>
      </c>
      <c r="E23" s="2">
        <v>8.0</v>
      </c>
      <c r="F23" s="9" t="s">
        <v>137</v>
      </c>
      <c r="G23" s="10" t="s">
        <v>138</v>
      </c>
      <c r="H23" s="11" t="s">
        <v>139</v>
      </c>
      <c r="I23" s="13" t="s">
        <v>140</v>
      </c>
      <c r="J23" s="14">
        <v>42722.0</v>
      </c>
      <c r="K23" s="11" t="s">
        <v>30</v>
      </c>
      <c r="L23" s="9">
        <v>2.0</v>
      </c>
      <c r="M23" s="2" t="s">
        <v>141</v>
      </c>
      <c r="N23" s="15"/>
      <c r="O23" s="15"/>
      <c r="P23" s="15"/>
      <c r="Q23" s="15"/>
      <c r="R23" s="15"/>
      <c r="S23" s="15"/>
      <c r="T23" s="15"/>
      <c r="U23" s="15"/>
      <c r="V23" s="15"/>
    </row>
    <row r="24">
      <c r="A24" s="16" t="s">
        <v>142</v>
      </c>
      <c r="B24" s="22" t="s">
        <v>136</v>
      </c>
      <c r="C24" s="2" t="s">
        <v>41</v>
      </c>
      <c r="D24" s="2">
        <v>1.0</v>
      </c>
      <c r="E24" s="2">
        <v>8.0</v>
      </c>
      <c r="F24" s="9" t="s">
        <v>145</v>
      </c>
      <c r="G24" s="10" t="s">
        <v>146</v>
      </c>
      <c r="H24" s="11" t="s">
        <v>147</v>
      </c>
      <c r="I24" s="13" t="s">
        <v>140</v>
      </c>
      <c r="J24" s="14">
        <v>42722.0</v>
      </c>
      <c r="K24" s="11" t="s">
        <v>30</v>
      </c>
      <c r="L24" s="9">
        <v>1.0</v>
      </c>
      <c r="M24" s="2" t="s">
        <v>148</v>
      </c>
      <c r="N24" s="15"/>
      <c r="O24" s="15"/>
      <c r="P24" s="15"/>
      <c r="Q24" s="15"/>
      <c r="R24" s="15"/>
      <c r="S24" s="15"/>
      <c r="T24" s="15"/>
      <c r="U24" s="15"/>
      <c r="V24" s="15"/>
    </row>
    <row r="25">
      <c r="A25" s="6" t="str">
        <f>HYPERLINK("https://quarterskbbq.com/","Quarters")</f>
        <v>Quarters</v>
      </c>
      <c r="B25" s="22" t="s">
        <v>136</v>
      </c>
      <c r="C25" s="2" t="s">
        <v>21</v>
      </c>
      <c r="D25" s="2">
        <v>1.0</v>
      </c>
      <c r="E25" s="2">
        <v>8.0</v>
      </c>
      <c r="F25" s="9" t="s">
        <v>149</v>
      </c>
      <c r="G25" s="10" t="s">
        <v>150</v>
      </c>
      <c r="H25" s="11" t="s">
        <v>151</v>
      </c>
      <c r="I25" s="13" t="s">
        <v>140</v>
      </c>
      <c r="J25" s="14">
        <v>42722.0</v>
      </c>
      <c r="K25" s="11" t="s">
        <v>30</v>
      </c>
      <c r="L25" s="9">
        <v>1.0</v>
      </c>
      <c r="M25" s="15"/>
      <c r="N25" s="15"/>
      <c r="O25" s="15"/>
      <c r="P25" s="15"/>
      <c r="Q25" s="15"/>
      <c r="R25" s="15"/>
      <c r="S25" s="15"/>
      <c r="T25" s="15"/>
      <c r="U25" s="15"/>
      <c r="V25" s="15"/>
    </row>
    <row r="26">
      <c r="A26" s="6" t="str">
        <f>HYPERLINK("https://www.bottegalouie.com/","Bottega Louie")</f>
        <v>Bottega Louie</v>
      </c>
      <c r="B26" s="7" t="s">
        <v>152</v>
      </c>
      <c r="C26" s="2" t="s">
        <v>33</v>
      </c>
      <c r="D26" s="2">
        <v>1.0</v>
      </c>
      <c r="E26" s="2">
        <v>9.0</v>
      </c>
      <c r="F26" s="9" t="s">
        <v>153</v>
      </c>
      <c r="G26" s="10" t="s">
        <v>154</v>
      </c>
      <c r="H26" s="11" t="s">
        <v>155</v>
      </c>
      <c r="I26" s="13" t="s">
        <v>157</v>
      </c>
      <c r="J26" s="14">
        <v>42743.0</v>
      </c>
      <c r="K26" s="11" t="s">
        <v>30</v>
      </c>
      <c r="L26" s="9"/>
      <c r="M26" s="15"/>
      <c r="N26" s="15"/>
      <c r="O26" s="15"/>
      <c r="P26" s="15"/>
      <c r="Q26" s="15"/>
      <c r="R26" s="15"/>
      <c r="S26" s="15"/>
      <c r="T26" s="15"/>
      <c r="U26" s="15"/>
      <c r="V26" s="15"/>
    </row>
    <row r="27">
      <c r="A27" s="6" t="str">
        <f>HYPERLINK("http://www.portosbakery.com/","Porto's Bakery")</f>
        <v>Porto's Bakery</v>
      </c>
      <c r="B27" s="7" t="s">
        <v>152</v>
      </c>
      <c r="C27" s="2" t="s">
        <v>41</v>
      </c>
      <c r="D27" s="2">
        <v>1.0</v>
      </c>
      <c r="E27" s="2">
        <v>9.0</v>
      </c>
      <c r="F27" s="9" t="s">
        <v>160</v>
      </c>
      <c r="G27" s="10" t="s">
        <v>161</v>
      </c>
      <c r="H27" s="11" t="s">
        <v>162</v>
      </c>
      <c r="I27" s="13" t="s">
        <v>157</v>
      </c>
      <c r="J27" s="14">
        <v>42743.0</v>
      </c>
      <c r="K27" s="2" t="s">
        <v>37</v>
      </c>
      <c r="L27" s="9">
        <v>1.0</v>
      </c>
      <c r="M27" s="2" t="s">
        <v>163</v>
      </c>
      <c r="N27" s="2"/>
      <c r="O27" s="2"/>
      <c r="P27" s="2"/>
      <c r="Q27" s="2"/>
      <c r="R27" s="2"/>
      <c r="S27" s="2"/>
      <c r="T27" s="2"/>
      <c r="U27" s="2"/>
      <c r="V27" s="2"/>
    </row>
    <row r="28">
      <c r="A28" s="6" t="str">
        <f>HYPERLINK("http://proofbakery.com/","Proof Bakery")</f>
        <v>Proof Bakery</v>
      </c>
      <c r="B28" s="7" t="s">
        <v>152</v>
      </c>
      <c r="C28" s="2" t="s">
        <v>21</v>
      </c>
      <c r="D28" s="2">
        <v>1.0</v>
      </c>
      <c r="E28" s="2">
        <v>9.0</v>
      </c>
      <c r="F28" s="9" t="s">
        <v>164</v>
      </c>
      <c r="G28" s="10" t="s">
        <v>165</v>
      </c>
      <c r="H28" s="11" t="s">
        <v>166</v>
      </c>
      <c r="I28" s="13" t="s">
        <v>157</v>
      </c>
      <c r="J28" s="14">
        <v>42743.0</v>
      </c>
      <c r="K28" s="11" t="s">
        <v>30</v>
      </c>
      <c r="L28" s="9">
        <v>1.0</v>
      </c>
      <c r="M28" s="2" t="s">
        <v>163</v>
      </c>
      <c r="N28" s="15"/>
      <c r="O28" s="15"/>
      <c r="P28" s="15"/>
      <c r="Q28" s="15"/>
      <c r="R28" s="15"/>
      <c r="S28" s="15"/>
      <c r="T28" s="15"/>
      <c r="U28" s="15"/>
      <c r="V28" s="15"/>
    </row>
    <row r="29">
      <c r="A29" s="6" t="str">
        <f>HYPERLINK("http://birdiesla.com/","Birdies")</f>
        <v>Birdies</v>
      </c>
      <c r="B29" s="7" t="s">
        <v>168</v>
      </c>
      <c r="C29" s="2" t="s">
        <v>33</v>
      </c>
      <c r="D29" s="2">
        <v>2.0</v>
      </c>
      <c r="E29" s="2">
        <v>1.0</v>
      </c>
      <c r="F29" s="9" t="s">
        <v>169</v>
      </c>
      <c r="G29" s="10" t="s">
        <v>170</v>
      </c>
      <c r="H29" s="11" t="s">
        <v>171</v>
      </c>
      <c r="I29" s="13" t="s">
        <v>172</v>
      </c>
      <c r="J29" s="14">
        <v>42806.0</v>
      </c>
      <c r="K29" s="11" t="s">
        <v>30</v>
      </c>
      <c r="L29" s="9"/>
      <c r="M29" s="15"/>
      <c r="N29" s="2"/>
      <c r="O29" s="2"/>
      <c r="P29" s="2"/>
      <c r="Q29" s="2"/>
      <c r="R29" s="2"/>
      <c r="S29" s="2"/>
      <c r="T29" s="2"/>
      <c r="U29" s="2"/>
      <c r="V29" s="2"/>
    </row>
    <row r="30">
      <c r="A30" s="6" t="str">
        <f>HYPERLINK("https://www.blinkiesdonuts.com/","Blinkie's Donut Emporium")</f>
        <v>Blinkie's Donut Emporium</v>
      </c>
      <c r="B30" s="7" t="s">
        <v>168</v>
      </c>
      <c r="C30" s="2" t="s">
        <v>41</v>
      </c>
      <c r="D30" s="2">
        <v>2.0</v>
      </c>
      <c r="E30" s="2">
        <v>1.0</v>
      </c>
      <c r="F30" s="9" t="s">
        <v>174</v>
      </c>
      <c r="G30" s="10" t="s">
        <v>175</v>
      </c>
      <c r="H30" s="11" t="s">
        <v>176</v>
      </c>
      <c r="I30" s="13" t="s">
        <v>172</v>
      </c>
      <c r="J30" s="14">
        <v>42806.0</v>
      </c>
      <c r="K30" s="11" t="s">
        <v>30</v>
      </c>
      <c r="L30" s="9">
        <v>3.0</v>
      </c>
      <c r="M30" s="15"/>
      <c r="N30" s="15"/>
      <c r="O30" s="15"/>
      <c r="P30" s="15"/>
      <c r="Q30" s="15"/>
      <c r="R30" s="15"/>
      <c r="S30" s="15"/>
      <c r="T30" s="15"/>
      <c r="U30" s="15"/>
      <c r="V30" s="15"/>
    </row>
    <row r="31">
      <c r="A31" s="2" t="s">
        <v>179</v>
      </c>
      <c r="B31" s="7" t="s">
        <v>168</v>
      </c>
      <c r="C31" s="2" t="s">
        <v>21</v>
      </c>
      <c r="D31" s="2">
        <v>2.0</v>
      </c>
      <c r="E31" s="2">
        <v>1.0</v>
      </c>
      <c r="F31" s="9" t="s">
        <v>180</v>
      </c>
      <c r="G31" s="10"/>
      <c r="H31" s="2" t="s">
        <v>181</v>
      </c>
      <c r="I31" s="13" t="s">
        <v>172</v>
      </c>
      <c r="J31" s="14">
        <v>42806.0</v>
      </c>
      <c r="K31" s="11" t="s">
        <v>30</v>
      </c>
      <c r="L31" s="9"/>
      <c r="M31" s="2" t="s">
        <v>182</v>
      </c>
      <c r="N31" s="2"/>
      <c r="O31" s="2"/>
      <c r="P31" s="2"/>
      <c r="Q31" s="2"/>
      <c r="R31" s="2"/>
      <c r="S31" s="2"/>
      <c r="T31" s="2"/>
      <c r="U31" s="2"/>
      <c r="V31" s="2"/>
    </row>
    <row r="32">
      <c r="A32" s="6" t="str">
        <f>HYPERLINK("https://redrock.sclv.com/Dining/Feast-Buffet/Menu-Sp","Feast Buffet, Red Rock Casino")</f>
        <v>Feast Buffet, Red Rock Casino</v>
      </c>
      <c r="B32" s="7" t="s">
        <v>183</v>
      </c>
      <c r="C32" s="2" t="s">
        <v>41</v>
      </c>
      <c r="D32" s="2">
        <v>2.0</v>
      </c>
      <c r="E32" s="2">
        <v>2.0</v>
      </c>
      <c r="F32" s="9" t="s">
        <v>184</v>
      </c>
      <c r="G32" s="10" t="s">
        <v>186</v>
      </c>
      <c r="H32" s="11" t="s">
        <v>187</v>
      </c>
      <c r="I32" s="13" t="s">
        <v>188</v>
      </c>
      <c r="J32" s="14">
        <v>42813.0</v>
      </c>
      <c r="K32" s="11" t="s">
        <v>30</v>
      </c>
      <c r="L32" s="9"/>
      <c r="M32" s="15"/>
      <c r="N32" s="2"/>
      <c r="O32" s="2"/>
      <c r="P32" s="2"/>
      <c r="Q32" s="2"/>
      <c r="R32" s="2"/>
      <c r="S32" s="2"/>
      <c r="T32" s="2"/>
      <c r="U32" s="2"/>
      <c r="V32" s="2"/>
    </row>
    <row r="33">
      <c r="A33" s="6" t="str">
        <f>HYPERLINK("https://www.caesars.com/ballys-las-vegas/restaurants/sterling-brunch","The Sterling Brunch, BLT Steak at Bally's")</f>
        <v>The Sterling Brunch, BLT Steak at Bally's</v>
      </c>
      <c r="B33" s="7" t="s">
        <v>183</v>
      </c>
      <c r="C33" s="2" t="s">
        <v>33</v>
      </c>
      <c r="D33" s="2">
        <v>2.0</v>
      </c>
      <c r="E33" s="2">
        <v>2.0</v>
      </c>
      <c r="F33" s="9" t="s">
        <v>190</v>
      </c>
      <c r="G33" s="10" t="s">
        <v>191</v>
      </c>
      <c r="H33" s="11" t="s">
        <v>192</v>
      </c>
      <c r="I33" s="13" t="s">
        <v>188</v>
      </c>
      <c r="J33" s="14">
        <v>42813.0</v>
      </c>
      <c r="K33" s="11" t="s">
        <v>30</v>
      </c>
      <c r="L33" s="9">
        <v>2.0</v>
      </c>
      <c r="M33" s="15"/>
      <c r="N33" s="2"/>
      <c r="O33" s="2"/>
      <c r="P33" s="2"/>
      <c r="Q33" s="2"/>
      <c r="R33" s="2"/>
      <c r="S33" s="2"/>
      <c r="T33" s="2"/>
      <c r="U33" s="2"/>
      <c r="V33" s="2"/>
    </row>
    <row r="34">
      <c r="A34" s="6" t="str">
        <f>HYPERLINK("https://www.cosmopolitanlasvegas.com/restaurants/wicked-spoon","Wicked Spoon, The Cosmopolitan")</f>
        <v>Wicked Spoon, The Cosmopolitan</v>
      </c>
      <c r="B34" s="7" t="s">
        <v>183</v>
      </c>
      <c r="C34" s="2" t="s">
        <v>21</v>
      </c>
      <c r="D34" s="2">
        <v>2.0</v>
      </c>
      <c r="E34" s="2">
        <v>2.0</v>
      </c>
      <c r="F34" s="9" t="s">
        <v>194</v>
      </c>
      <c r="G34" s="10" t="s">
        <v>195</v>
      </c>
      <c r="H34" s="11" t="s">
        <v>196</v>
      </c>
      <c r="I34" s="13" t="s">
        <v>188</v>
      </c>
      <c r="J34" s="14">
        <v>42813.0</v>
      </c>
      <c r="K34" s="11" t="s">
        <v>30</v>
      </c>
      <c r="L34" s="9">
        <v>1.0</v>
      </c>
      <c r="M34" s="15"/>
      <c r="N34" s="15"/>
      <c r="O34" s="15"/>
      <c r="P34" s="15"/>
      <c r="Q34" s="15"/>
      <c r="R34" s="15"/>
      <c r="S34" s="15"/>
      <c r="T34" s="15"/>
      <c r="U34" s="15"/>
      <c r="V34" s="15"/>
    </row>
    <row r="35">
      <c r="A35" s="6" t="str">
        <f>HYPERLINK("http://www.guisados.co/","Guisados")</f>
        <v>Guisados</v>
      </c>
      <c r="B35" s="7" t="s">
        <v>198</v>
      </c>
      <c r="C35" s="2" t="s">
        <v>21</v>
      </c>
      <c r="D35" s="2">
        <v>2.0</v>
      </c>
      <c r="E35" s="2">
        <v>3.0</v>
      </c>
      <c r="F35" s="9" t="s">
        <v>199</v>
      </c>
      <c r="G35" s="10" t="s">
        <v>200</v>
      </c>
      <c r="H35" s="11" t="s">
        <v>201</v>
      </c>
      <c r="I35" s="13" t="s">
        <v>202</v>
      </c>
      <c r="J35" s="14">
        <v>42820.0</v>
      </c>
      <c r="K35" s="11" t="s">
        <v>30</v>
      </c>
      <c r="L35" s="9">
        <v>2.0</v>
      </c>
      <c r="M35" s="2" t="s">
        <v>203</v>
      </c>
      <c r="N35" s="2"/>
      <c r="O35" s="2"/>
      <c r="P35" s="2"/>
      <c r="Q35" s="2"/>
      <c r="R35" s="2"/>
      <c r="S35" s="2"/>
      <c r="T35" s="2"/>
      <c r="U35" s="2"/>
      <c r="V35" s="2"/>
    </row>
    <row r="36">
      <c r="A36" s="6" t="str">
        <f>HYPERLINK("https://www.leostacostruck.com/","Leo's Taco Truck")</f>
        <v>Leo's Taco Truck</v>
      </c>
      <c r="B36" s="7" t="s">
        <v>198</v>
      </c>
      <c r="C36" s="2" t="s">
        <v>41</v>
      </c>
      <c r="D36" s="2">
        <v>2.0</v>
      </c>
      <c r="E36" s="2">
        <v>3.0</v>
      </c>
      <c r="F36" s="9" t="s">
        <v>204</v>
      </c>
      <c r="G36" s="10" t="s">
        <v>205</v>
      </c>
      <c r="H36" s="11" t="s">
        <v>206</v>
      </c>
      <c r="I36" s="13" t="s">
        <v>202</v>
      </c>
      <c r="J36" s="14">
        <v>42820.0</v>
      </c>
      <c r="K36" s="2" t="s">
        <v>37</v>
      </c>
      <c r="L36" s="9">
        <v>1.0</v>
      </c>
      <c r="M36" s="2" t="s">
        <v>203</v>
      </c>
      <c r="N36" s="2"/>
      <c r="O36" s="2"/>
      <c r="P36" s="2"/>
      <c r="Q36" s="2"/>
      <c r="R36" s="2"/>
      <c r="S36" s="2"/>
      <c r="T36" s="2"/>
      <c r="U36" s="2"/>
      <c r="V36" s="2"/>
    </row>
    <row r="37">
      <c r="A37" s="6" t="str">
        <f>HYPERLINK("https://www.cosmopolitanlasvegas.com/restaurants/rose-rabbit-lie","Rose. Rabbit. Lie")</f>
        <v>Rose. Rabbit. Lie</v>
      </c>
      <c r="B37" s="7" t="s">
        <v>198</v>
      </c>
      <c r="C37" s="2" t="s">
        <v>33</v>
      </c>
      <c r="D37" s="2">
        <v>2.0</v>
      </c>
      <c r="E37" s="2">
        <v>3.0</v>
      </c>
      <c r="F37" s="9" t="s">
        <v>208</v>
      </c>
      <c r="G37" s="10" t="s">
        <v>209</v>
      </c>
      <c r="H37" s="11" t="s">
        <v>210</v>
      </c>
      <c r="I37" s="13" t="s">
        <v>202</v>
      </c>
      <c r="J37" s="14">
        <v>42820.0</v>
      </c>
      <c r="K37" s="11" t="s">
        <v>30</v>
      </c>
      <c r="L37" s="9"/>
      <c r="M37" s="15"/>
      <c r="N37" s="15"/>
      <c r="O37" s="15"/>
      <c r="P37" s="15"/>
      <c r="Q37" s="15"/>
      <c r="R37" s="15"/>
      <c r="S37" s="15"/>
      <c r="T37" s="15"/>
      <c r="U37" s="15"/>
      <c r="V37" s="15"/>
    </row>
    <row r="38">
      <c r="A38" s="6" t="str">
        <f>HYPERLINK("https://www.fostersfreeze.com/","Foster's Freeze")</f>
        <v>Foster's Freeze</v>
      </c>
      <c r="B38" s="7" t="s">
        <v>211</v>
      </c>
      <c r="C38" s="2" t="s">
        <v>41</v>
      </c>
      <c r="D38" s="2">
        <v>2.0</v>
      </c>
      <c r="E38" s="2">
        <v>4.0</v>
      </c>
      <c r="F38" s="9" t="s">
        <v>212</v>
      </c>
      <c r="G38" s="10" t="s">
        <v>213</v>
      </c>
      <c r="H38" s="11" t="s">
        <v>214</v>
      </c>
      <c r="I38" s="13" t="s">
        <v>216</v>
      </c>
      <c r="J38" s="14">
        <v>42827.0</v>
      </c>
      <c r="K38" s="2" t="s">
        <v>37</v>
      </c>
      <c r="L38" s="9">
        <v>1.0</v>
      </c>
      <c r="M38" s="15"/>
      <c r="N38" s="15"/>
      <c r="O38" s="15"/>
      <c r="P38" s="15"/>
      <c r="Q38" s="15"/>
      <c r="R38" s="15"/>
      <c r="S38" s="15"/>
      <c r="T38" s="15"/>
      <c r="U38" s="15"/>
      <c r="V38" s="15"/>
    </row>
    <row r="39">
      <c r="A39" s="6" t="str">
        <f>HYPERLINK("www.scoopswestside.com/","Scoops")</f>
        <v>Scoops</v>
      </c>
      <c r="B39" s="7" t="s">
        <v>211</v>
      </c>
      <c r="C39" s="2" t="s">
        <v>21</v>
      </c>
      <c r="D39" s="2">
        <v>2.0</v>
      </c>
      <c r="E39" s="2">
        <v>4.0</v>
      </c>
      <c r="F39" s="9" t="s">
        <v>218</v>
      </c>
      <c r="G39" s="10" t="s">
        <v>219</v>
      </c>
      <c r="H39" s="11" t="s">
        <v>220</v>
      </c>
      <c r="I39" s="13" t="s">
        <v>216</v>
      </c>
      <c r="J39" s="14">
        <v>42827.0</v>
      </c>
      <c r="K39" s="11" t="s">
        <v>30</v>
      </c>
      <c r="L39" s="9">
        <v>2.0</v>
      </c>
      <c r="M39" s="15"/>
      <c r="N39" s="15"/>
      <c r="O39" s="15"/>
      <c r="P39" s="15"/>
      <c r="Q39" s="15"/>
      <c r="R39" s="15"/>
      <c r="S39" s="15"/>
      <c r="T39" s="15"/>
      <c r="U39" s="15"/>
      <c r="V39" s="15"/>
    </row>
    <row r="40">
      <c r="A40" s="6" t="str">
        <f>HYPERLINK("https://serendipity3.com/","Serendipity 3")</f>
        <v>Serendipity 3</v>
      </c>
      <c r="B40" s="7" t="s">
        <v>211</v>
      </c>
      <c r="C40" s="2" t="s">
        <v>33</v>
      </c>
      <c r="D40" s="2">
        <v>2.0</v>
      </c>
      <c r="E40" s="2">
        <v>4.0</v>
      </c>
      <c r="F40" s="9" t="s">
        <v>221</v>
      </c>
      <c r="G40" s="10" t="s">
        <v>222</v>
      </c>
      <c r="H40" s="11" t="s">
        <v>223</v>
      </c>
      <c r="I40" s="13" t="s">
        <v>216</v>
      </c>
      <c r="J40" s="14">
        <v>42827.0</v>
      </c>
      <c r="K40" s="11" t="s">
        <v>30</v>
      </c>
      <c r="L40" s="9"/>
      <c r="M40" s="15"/>
      <c r="N40" s="2"/>
      <c r="O40" s="2"/>
      <c r="P40" s="2"/>
      <c r="Q40" s="2"/>
      <c r="R40" s="2"/>
      <c r="S40" s="2"/>
      <c r="T40" s="2"/>
      <c r="U40" s="2"/>
      <c r="V40" s="2"/>
    </row>
    <row r="41">
      <c r="A41" s="6" t="str">
        <f>HYPERLINK("http://industry-kitchen.com/","Industry Kitchen")</f>
        <v>Industry Kitchen</v>
      </c>
      <c r="B41" s="7" t="s">
        <v>224</v>
      </c>
      <c r="C41" s="2" t="s">
        <v>33</v>
      </c>
      <c r="D41" s="2">
        <v>2.0</v>
      </c>
      <c r="E41" s="2">
        <v>5.0</v>
      </c>
      <c r="F41" s="9" t="s">
        <v>225</v>
      </c>
      <c r="G41" s="10" t="s">
        <v>226</v>
      </c>
      <c r="H41" s="11" t="s">
        <v>227</v>
      </c>
      <c r="I41" s="13" t="s">
        <v>228</v>
      </c>
      <c r="J41" s="14">
        <v>42834.0</v>
      </c>
      <c r="K41" s="11" t="s">
        <v>30</v>
      </c>
      <c r="L41" s="9"/>
      <c r="M41" s="15"/>
      <c r="N41" s="15"/>
      <c r="O41" s="15"/>
      <c r="P41" s="15"/>
      <c r="Q41" s="15"/>
      <c r="R41" s="15"/>
      <c r="S41" s="15"/>
      <c r="T41" s="15"/>
      <c r="U41" s="15"/>
      <c r="V41" s="15"/>
    </row>
    <row r="42">
      <c r="A42" s="6" t="str">
        <f>HYPERLINK("http://www.joespizzanyc.com/","Joe's Pizza")</f>
        <v>Joe's Pizza</v>
      </c>
      <c r="B42" s="7" t="s">
        <v>224</v>
      </c>
      <c r="C42" s="2" t="s">
        <v>41</v>
      </c>
      <c r="D42" s="2">
        <v>2.0</v>
      </c>
      <c r="E42" s="2">
        <v>5.0</v>
      </c>
      <c r="F42" s="9" t="s">
        <v>229</v>
      </c>
      <c r="G42" s="10" t="s">
        <v>230</v>
      </c>
      <c r="H42" s="11" t="s">
        <v>231</v>
      </c>
      <c r="I42" s="13" t="s">
        <v>228</v>
      </c>
      <c r="J42" s="14">
        <v>42834.0</v>
      </c>
      <c r="K42" s="2" t="s">
        <v>37</v>
      </c>
      <c r="L42" s="9">
        <v>1.0</v>
      </c>
      <c r="M42" s="15"/>
      <c r="N42" s="2"/>
      <c r="O42" s="2"/>
      <c r="P42" s="2"/>
      <c r="Q42" s="2"/>
      <c r="R42" s="2"/>
      <c r="S42" s="2"/>
      <c r="T42" s="2"/>
      <c r="U42" s="2"/>
      <c r="V42" s="2"/>
    </row>
    <row r="43">
      <c r="A43" s="6" t="str">
        <f>HYPERLINK("http://www.rossonyc.com/","Rossopomodoro, Eataly Flatiron")</f>
        <v>Rossopomodoro, Eataly Flatiron</v>
      </c>
      <c r="B43" s="7" t="s">
        <v>224</v>
      </c>
      <c r="C43" s="2" t="s">
        <v>21</v>
      </c>
      <c r="D43" s="2">
        <v>2.0</v>
      </c>
      <c r="E43" s="2">
        <v>5.0</v>
      </c>
      <c r="F43" s="2" t="s">
        <v>232</v>
      </c>
      <c r="G43" s="10" t="s">
        <v>233</v>
      </c>
      <c r="H43" s="11" t="s">
        <v>234</v>
      </c>
      <c r="I43" s="13" t="s">
        <v>228</v>
      </c>
      <c r="J43" s="14">
        <v>42834.0</v>
      </c>
      <c r="K43" s="2" t="s">
        <v>37</v>
      </c>
      <c r="L43" s="9"/>
      <c r="M43" s="15"/>
      <c r="N43" s="15"/>
      <c r="O43" s="15"/>
      <c r="P43" s="15"/>
      <c r="Q43" s="15"/>
      <c r="R43" s="15"/>
      <c r="S43" s="15"/>
      <c r="T43" s="15"/>
      <c r="U43" s="15"/>
      <c r="V43" s="15"/>
    </row>
    <row r="44">
      <c r="A44" s="6" t="str">
        <f>HYPERLINK("http://www.eileenscheesecake.com/","Eileen's Special Cheesecake")</f>
        <v>Eileen's Special Cheesecake</v>
      </c>
      <c r="B44" s="7" t="s">
        <v>235</v>
      </c>
      <c r="C44" s="2" t="s">
        <v>41</v>
      </c>
      <c r="D44" s="2">
        <v>2.0</v>
      </c>
      <c r="E44" s="2">
        <v>6.0</v>
      </c>
      <c r="F44" s="9" t="s">
        <v>236</v>
      </c>
      <c r="G44" s="10" t="s">
        <v>237</v>
      </c>
      <c r="H44" s="11" t="s">
        <v>238</v>
      </c>
      <c r="I44" s="13" t="s">
        <v>239</v>
      </c>
      <c r="J44" s="14">
        <v>42841.0</v>
      </c>
      <c r="K44" s="11" t="s">
        <v>30</v>
      </c>
      <c r="L44" s="9">
        <v>2.0</v>
      </c>
      <c r="M44" s="15"/>
      <c r="N44" s="15"/>
      <c r="O44" s="15"/>
      <c r="P44" s="15"/>
      <c r="Q44" s="15"/>
      <c r="R44" s="15"/>
      <c r="S44" s="15"/>
      <c r="T44" s="15"/>
      <c r="U44" s="15"/>
      <c r="V44" s="15"/>
    </row>
    <row r="45">
      <c r="A45" s="6" t="str">
        <f>HYPERLINK("https://www.ladym.com/","Lady M")</f>
        <v>Lady M</v>
      </c>
      <c r="B45" s="7" t="s">
        <v>235</v>
      </c>
      <c r="C45" s="2" t="s">
        <v>33</v>
      </c>
      <c r="D45" s="2">
        <v>2.0</v>
      </c>
      <c r="E45" s="2">
        <v>6.0</v>
      </c>
      <c r="F45" s="9" t="s">
        <v>241</v>
      </c>
      <c r="G45" s="10" t="s">
        <v>242</v>
      </c>
      <c r="H45" s="11" t="s">
        <v>243</v>
      </c>
      <c r="I45" s="13" t="s">
        <v>239</v>
      </c>
      <c r="J45" s="14">
        <v>42841.0</v>
      </c>
      <c r="K45" s="2" t="s">
        <v>37</v>
      </c>
      <c r="L45" s="9"/>
      <c r="M45" s="2" t="s">
        <v>163</v>
      </c>
      <c r="N45" s="2"/>
      <c r="O45" s="2"/>
      <c r="P45" s="2"/>
      <c r="Q45" s="2"/>
      <c r="R45" s="2"/>
      <c r="S45" s="2"/>
      <c r="T45" s="2"/>
      <c r="U45" s="2"/>
      <c r="V45" s="2"/>
    </row>
    <row r="46">
      <c r="A46" s="6" t="str">
        <f>HYPERLINK("http://togrp.com/venue/stk-downtown/","STK Downtown")</f>
        <v>STK Downtown</v>
      </c>
      <c r="B46" s="7" t="s">
        <v>235</v>
      </c>
      <c r="C46" s="2" t="s">
        <v>21</v>
      </c>
      <c r="D46" s="2">
        <v>2.0</v>
      </c>
      <c r="E46" s="2">
        <v>6.0</v>
      </c>
      <c r="F46" s="9" t="s">
        <v>244</v>
      </c>
      <c r="G46" s="10" t="s">
        <v>245</v>
      </c>
      <c r="H46" s="11" t="s">
        <v>246</v>
      </c>
      <c r="I46" s="13" t="s">
        <v>239</v>
      </c>
      <c r="J46" s="14">
        <v>42841.0</v>
      </c>
      <c r="K46" s="11" t="s">
        <v>30</v>
      </c>
      <c r="L46" s="9">
        <v>1.0</v>
      </c>
      <c r="M46" s="15"/>
      <c r="N46" s="15"/>
      <c r="O46" s="15"/>
      <c r="P46" s="15"/>
      <c r="Q46" s="15"/>
      <c r="R46" s="15"/>
      <c r="S46" s="15"/>
      <c r="T46" s="15"/>
      <c r="U46" s="15"/>
      <c r="V46" s="15"/>
    </row>
    <row r="47">
      <c r="A47" s="6" t="str">
        <f>HYPERLINK("https://www.gramercytavern.com/","Gramercy Tavern")</f>
        <v>Gramercy Tavern</v>
      </c>
      <c r="B47" s="7" t="s">
        <v>247</v>
      </c>
      <c r="C47" s="2" t="s">
        <v>21</v>
      </c>
      <c r="D47" s="2">
        <v>2.0</v>
      </c>
      <c r="E47" s="2">
        <v>7.0</v>
      </c>
      <c r="F47" s="9" t="s">
        <v>248</v>
      </c>
      <c r="G47" s="10" t="s">
        <v>249</v>
      </c>
      <c r="H47" s="11" t="s">
        <v>250</v>
      </c>
      <c r="I47" s="13" t="s">
        <v>251</v>
      </c>
      <c r="J47" s="14">
        <v>42848.0</v>
      </c>
      <c r="K47" s="11" t="s">
        <v>30</v>
      </c>
      <c r="L47" s="9">
        <v>3.0</v>
      </c>
      <c r="M47" s="15"/>
      <c r="N47" s="2"/>
      <c r="O47" s="2"/>
      <c r="P47" s="2"/>
      <c r="Q47" s="2"/>
      <c r="R47" s="2"/>
      <c r="S47" s="2"/>
      <c r="T47" s="2"/>
      <c r="U47" s="2"/>
      <c r="V47" s="2"/>
    </row>
    <row r="48">
      <c r="A48" s="6" t="str">
        <f>HYPERLINK("https://www.petrossian.com/new-york-boutique-cafe","Petrossian")</f>
        <v>Petrossian</v>
      </c>
      <c r="B48" s="7" t="s">
        <v>247</v>
      </c>
      <c r="C48" s="2" t="s">
        <v>33</v>
      </c>
      <c r="D48" s="2">
        <v>2.0</v>
      </c>
      <c r="E48" s="2">
        <v>7.0</v>
      </c>
      <c r="F48" s="9" t="s">
        <v>254</v>
      </c>
      <c r="G48" s="10" t="s">
        <v>255</v>
      </c>
      <c r="H48" s="11" t="s">
        <v>256</v>
      </c>
      <c r="I48" s="13" t="s">
        <v>251</v>
      </c>
      <c r="J48" s="14">
        <v>42848.0</v>
      </c>
      <c r="K48" s="11" t="s">
        <v>30</v>
      </c>
      <c r="L48" s="9"/>
      <c r="M48" s="15"/>
      <c r="N48" s="15"/>
      <c r="O48" s="15"/>
      <c r="P48" s="15"/>
      <c r="Q48" s="15"/>
      <c r="R48" s="15"/>
      <c r="S48" s="15"/>
      <c r="T48" s="15"/>
      <c r="U48" s="15"/>
      <c r="V48" s="15"/>
    </row>
    <row r="49">
      <c r="A49" s="6" t="str">
        <f>HYPERLINK("https://www.shakeshack.com/food-and-drink/","Shake Shack")</f>
        <v>Shake Shack</v>
      </c>
      <c r="B49" s="7" t="s">
        <v>247</v>
      </c>
      <c r="C49" s="2" t="s">
        <v>41</v>
      </c>
      <c r="D49" s="2">
        <v>2.0</v>
      </c>
      <c r="E49" s="2">
        <v>7.0</v>
      </c>
      <c r="F49" s="9" t="s">
        <v>257</v>
      </c>
      <c r="G49" s="10" t="s">
        <v>258</v>
      </c>
      <c r="H49" s="11" t="s">
        <v>259</v>
      </c>
      <c r="I49" s="13" t="s">
        <v>251</v>
      </c>
      <c r="J49" s="14">
        <v>42848.0</v>
      </c>
      <c r="K49" s="2" t="s">
        <v>37</v>
      </c>
      <c r="L49" s="9"/>
      <c r="M49" s="15"/>
      <c r="N49" s="15"/>
      <c r="O49" s="15"/>
      <c r="P49" s="15"/>
      <c r="Q49" s="15"/>
      <c r="R49" s="15"/>
      <c r="S49" s="15"/>
      <c r="T49" s="15"/>
      <c r="U49" s="15"/>
      <c r="V49" s="15"/>
    </row>
    <row r="50">
      <c r="A50" s="6" t="str">
        <f>HYPERLINK("https://www.montagehotels.com/beverlyhills/en/dining/10-pound/","£10 @ The Montage Hotel")</f>
        <v>£10 @ The Montage Hotel</v>
      </c>
      <c r="B50" s="7" t="s">
        <v>261</v>
      </c>
      <c r="C50" s="2" t="s">
        <v>33</v>
      </c>
      <c r="D50" s="2">
        <v>2.0</v>
      </c>
      <c r="E50" s="2">
        <v>8.0</v>
      </c>
      <c r="F50" s="9" t="s">
        <v>262</v>
      </c>
      <c r="G50" s="10" t="s">
        <v>263</v>
      </c>
      <c r="H50" s="11" t="s">
        <v>264</v>
      </c>
      <c r="I50" s="13" t="s">
        <v>265</v>
      </c>
      <c r="J50" s="14">
        <v>42855.0</v>
      </c>
      <c r="K50" s="11" t="s">
        <v>30</v>
      </c>
      <c r="L50" s="9">
        <v>1.0</v>
      </c>
      <c r="M50" s="15"/>
      <c r="N50" s="2"/>
      <c r="O50" s="2"/>
      <c r="P50" s="2"/>
      <c r="Q50" s="2"/>
      <c r="R50" s="2"/>
      <c r="S50" s="2"/>
      <c r="T50" s="2"/>
      <c r="U50" s="2"/>
      <c r="V50" s="2"/>
    </row>
    <row r="51">
      <c r="A51" s="6" t="str">
        <f>HYPERLINK("http://goodtimesatdaveywaynes.com/","Good Times at Davey Wayne's")</f>
        <v>Good Times at Davey Wayne's</v>
      </c>
      <c r="B51" s="7" t="s">
        <v>261</v>
      </c>
      <c r="C51" s="2" t="s">
        <v>41</v>
      </c>
      <c r="D51" s="2">
        <v>2.0</v>
      </c>
      <c r="E51" s="2">
        <v>8.0</v>
      </c>
      <c r="F51" s="9" t="s">
        <v>266</v>
      </c>
      <c r="G51" s="10" t="s">
        <v>267</v>
      </c>
      <c r="H51" s="11" t="s">
        <v>268</v>
      </c>
      <c r="I51" s="13" t="s">
        <v>265</v>
      </c>
      <c r="J51" s="14">
        <v>42855.0</v>
      </c>
      <c r="K51" s="11" t="s">
        <v>30</v>
      </c>
      <c r="L51" s="9">
        <v>1.0</v>
      </c>
      <c r="M51" s="15"/>
      <c r="N51" s="15"/>
      <c r="O51" s="15"/>
      <c r="P51" s="15"/>
      <c r="Q51" s="15"/>
      <c r="R51" s="15"/>
      <c r="S51" s="15"/>
      <c r="T51" s="15"/>
      <c r="U51" s="15"/>
      <c r="V51" s="15"/>
    </row>
    <row r="52">
      <c r="A52" s="6" t="str">
        <f>HYPERLINK("https://www.cliftonsla.com/pacific-seas/","Pacific Seas @ Clifton's")</f>
        <v>Pacific Seas @ Clifton's</v>
      </c>
      <c r="B52" s="7" t="s">
        <v>261</v>
      </c>
      <c r="C52" s="2" t="s">
        <v>21</v>
      </c>
      <c r="D52" s="2">
        <v>2.0</v>
      </c>
      <c r="E52" s="2">
        <v>8.0</v>
      </c>
      <c r="F52" s="9" t="s">
        <v>270</v>
      </c>
      <c r="G52" s="10" t="s">
        <v>271</v>
      </c>
      <c r="H52" s="11" t="s">
        <v>272</v>
      </c>
      <c r="I52" s="13" t="s">
        <v>265</v>
      </c>
      <c r="J52" s="14">
        <v>42855.0</v>
      </c>
      <c r="K52" s="11" t="s">
        <v>30</v>
      </c>
      <c r="L52" s="9">
        <v>1.0</v>
      </c>
      <c r="M52" s="15"/>
      <c r="N52" s="2"/>
      <c r="O52" s="2"/>
      <c r="P52" s="2"/>
      <c r="Q52" s="2"/>
      <c r="R52" s="2"/>
      <c r="S52" s="2"/>
      <c r="T52" s="2"/>
      <c r="U52" s="2"/>
      <c r="V52" s="2"/>
    </row>
    <row r="53">
      <c r="A53" s="6" t="str">
        <f>HYPERLINK("https://www.connieandteds.com/","Connie and Ted's")</f>
        <v>Connie and Ted's</v>
      </c>
      <c r="B53" s="7" t="s">
        <v>274</v>
      </c>
      <c r="C53" s="2" t="s">
        <v>21</v>
      </c>
      <c r="D53" s="2">
        <v>2.0</v>
      </c>
      <c r="E53" s="2">
        <v>9.0</v>
      </c>
      <c r="F53" s="9" t="s">
        <v>275</v>
      </c>
      <c r="G53" s="10" t="s">
        <v>276</v>
      </c>
      <c r="H53" s="11" t="s">
        <v>277</v>
      </c>
      <c r="I53" s="13" t="s">
        <v>278</v>
      </c>
      <c r="J53" s="14">
        <v>42862.0</v>
      </c>
      <c r="K53" s="11" t="s">
        <v>30</v>
      </c>
      <c r="L53" s="9">
        <v>2.0</v>
      </c>
      <c r="M53" s="15"/>
      <c r="N53" s="15"/>
      <c r="O53" s="15"/>
      <c r="P53" s="15"/>
      <c r="Q53" s="15"/>
      <c r="R53" s="15"/>
      <c r="S53" s="15"/>
      <c r="T53" s="15"/>
      <c r="U53" s="15"/>
      <c r="V53" s="15"/>
    </row>
    <row r="54">
      <c r="A54" s="6" t="str">
        <f>HYPERLINK("http://laotaostreetfood.com/","Lao Tao")</f>
        <v>Lao Tao</v>
      </c>
      <c r="B54" s="7" t="s">
        <v>274</v>
      </c>
      <c r="C54" s="2" t="s">
        <v>41</v>
      </c>
      <c r="D54" s="2">
        <v>2.0</v>
      </c>
      <c r="E54" s="2">
        <v>9.0</v>
      </c>
      <c r="F54" s="9" t="s">
        <v>280</v>
      </c>
      <c r="G54" s="10" t="s">
        <v>281</v>
      </c>
      <c r="H54" s="11" t="s">
        <v>282</v>
      </c>
      <c r="I54" s="13" t="s">
        <v>278</v>
      </c>
      <c r="J54" s="14">
        <v>42862.0</v>
      </c>
      <c r="K54" s="11" t="s">
        <v>30</v>
      </c>
      <c r="L54" s="9">
        <v>1.0</v>
      </c>
      <c r="M54" s="2" t="s">
        <v>283</v>
      </c>
      <c r="N54" s="15"/>
      <c r="O54" s="15"/>
      <c r="P54" s="15"/>
      <c r="Q54" s="15"/>
      <c r="R54" s="15"/>
      <c r="S54" s="15"/>
      <c r="T54" s="15"/>
      <c r="U54" s="15"/>
      <c r="V54" s="15"/>
    </row>
    <row r="55">
      <c r="A55" s="6" t="str">
        <f>HYPERLINK("https://www.melisse.com/","Mélisse")</f>
        <v>Mélisse</v>
      </c>
      <c r="B55" s="7" t="s">
        <v>274</v>
      </c>
      <c r="C55" s="2" t="s">
        <v>33</v>
      </c>
      <c r="D55" s="2">
        <v>2.0</v>
      </c>
      <c r="E55" s="2">
        <v>9.0</v>
      </c>
      <c r="F55" s="9" t="s">
        <v>284</v>
      </c>
      <c r="G55" s="10" t="s">
        <v>285</v>
      </c>
      <c r="H55" s="11" t="s">
        <v>286</v>
      </c>
      <c r="I55" s="13" t="s">
        <v>278</v>
      </c>
      <c r="J55" s="14">
        <v>42862.0</v>
      </c>
      <c r="K55" s="11" t="s">
        <v>30</v>
      </c>
      <c r="L55" s="9"/>
      <c r="M55" s="15"/>
      <c r="N55" s="2"/>
      <c r="O55" s="2"/>
      <c r="P55" s="2"/>
      <c r="Q55" s="2"/>
      <c r="R55" s="2"/>
      <c r="S55" s="2"/>
      <c r="T55" s="2"/>
      <c r="U55" s="2"/>
      <c r="V55" s="2"/>
    </row>
    <row r="56">
      <c r="A56" s="6" t="str">
        <f>HYPERLINK("https://www.tripadvisor.com/Restaurant_Review-g294197-d9299919-Reviews-Gangnam_Galmaegi-Seoul.html","Gangnam Galmegi")</f>
        <v>Gangnam Galmegi</v>
      </c>
      <c r="B56" s="7" t="s">
        <v>287</v>
      </c>
      <c r="C56" s="2" t="s">
        <v>41</v>
      </c>
      <c r="D56" s="2">
        <v>2.0</v>
      </c>
      <c r="E56" s="2">
        <v>10.0</v>
      </c>
      <c r="F56" s="9" t="s">
        <v>288</v>
      </c>
      <c r="G56" s="10" t="s">
        <v>289</v>
      </c>
      <c r="H56" s="11" t="s">
        <v>290</v>
      </c>
      <c r="I56" s="13" t="s">
        <v>291</v>
      </c>
      <c r="J56" s="14">
        <v>42869.0</v>
      </c>
      <c r="K56" s="11" t="s">
        <v>30</v>
      </c>
      <c r="L56" s="9"/>
      <c r="M56" s="15"/>
      <c r="N56" s="15"/>
      <c r="O56" s="15"/>
      <c r="P56" s="15"/>
      <c r="Q56" s="15"/>
      <c r="R56" s="15"/>
      <c r="S56" s="15"/>
      <c r="T56" s="15"/>
      <c r="U56" s="15"/>
      <c r="V56" s="15"/>
    </row>
    <row r="57">
      <c r="A57" s="16" t="s">
        <v>292</v>
      </c>
      <c r="B57" s="7" t="s">
        <v>287</v>
      </c>
      <c r="C57" s="2" t="s">
        <v>21</v>
      </c>
      <c r="D57" s="2">
        <v>2.0</v>
      </c>
      <c r="E57" s="2">
        <v>10.0</v>
      </c>
      <c r="F57" s="9" t="s">
        <v>293</v>
      </c>
      <c r="G57" s="10" t="s">
        <v>294</v>
      </c>
      <c r="H57" s="11" t="s">
        <v>295</v>
      </c>
      <c r="I57" s="13" t="s">
        <v>291</v>
      </c>
      <c r="J57" s="14">
        <v>42869.0</v>
      </c>
      <c r="K57" s="11" t="s">
        <v>30</v>
      </c>
      <c r="L57" s="9">
        <v>3.0</v>
      </c>
      <c r="M57" s="15"/>
      <c r="N57" s="15"/>
      <c r="O57" s="15"/>
      <c r="P57" s="15"/>
      <c r="Q57" s="15"/>
      <c r="R57" s="15"/>
      <c r="S57" s="15"/>
      <c r="T57" s="15"/>
      <c r="U57" s="15"/>
      <c r="V57" s="15"/>
    </row>
    <row r="58">
      <c r="A58" s="6" t="str">
        <f>HYPERLINK("https://www.walkerhill.com/grandwalkerhillseoul/en/dining/Myongwolgwan","Walkerhill Myongwolgwan")</f>
        <v>Walkerhill Myongwolgwan</v>
      </c>
      <c r="B58" s="7" t="s">
        <v>287</v>
      </c>
      <c r="C58" s="2" t="s">
        <v>33</v>
      </c>
      <c r="D58" s="2">
        <v>2.0</v>
      </c>
      <c r="E58" s="2">
        <v>10.0</v>
      </c>
      <c r="F58" s="9" t="s">
        <v>296</v>
      </c>
      <c r="G58" s="10" t="s">
        <v>297</v>
      </c>
      <c r="H58" s="11" t="s">
        <v>298</v>
      </c>
      <c r="I58" s="13" t="s">
        <v>291</v>
      </c>
      <c r="J58" s="14">
        <v>42869.0</v>
      </c>
      <c r="K58" s="11" t="s">
        <v>30</v>
      </c>
      <c r="L58" s="9">
        <v>1.0</v>
      </c>
      <c r="M58" s="15"/>
      <c r="N58" s="15"/>
      <c r="O58" s="15"/>
      <c r="P58" s="15"/>
      <c r="Q58" s="15"/>
      <c r="R58" s="15"/>
      <c r="S58" s="15"/>
      <c r="T58" s="15"/>
      <c r="U58" s="15"/>
      <c r="V58" s="15"/>
    </row>
    <row r="59">
      <c r="A59" s="6" t="str">
        <f>HYPERLINK("www.bartong.com/","Barton G.")</f>
        <v>Barton G.</v>
      </c>
      <c r="B59" s="7" t="s">
        <v>299</v>
      </c>
      <c r="C59" s="2" t="s">
        <v>33</v>
      </c>
      <c r="D59" s="2">
        <v>3.0</v>
      </c>
      <c r="E59" s="2">
        <v>1.0</v>
      </c>
      <c r="F59" s="9" t="s">
        <v>300</v>
      </c>
      <c r="G59" s="10" t="s">
        <v>301</v>
      </c>
      <c r="H59" s="11" t="s">
        <v>302</v>
      </c>
      <c r="I59" s="13" t="s">
        <v>303</v>
      </c>
      <c r="J59" s="14">
        <v>42974.0</v>
      </c>
      <c r="K59" s="11" t="s">
        <v>30</v>
      </c>
      <c r="L59" s="9"/>
      <c r="M59" s="15"/>
      <c r="N59" s="15"/>
      <c r="O59" s="15"/>
      <c r="P59" s="15"/>
      <c r="Q59" s="15"/>
      <c r="R59" s="15"/>
      <c r="S59" s="15"/>
      <c r="T59" s="15"/>
      <c r="U59" s="15"/>
      <c r="V59" s="15"/>
    </row>
    <row r="60">
      <c r="A60" s="6" t="str">
        <f>HYPERLINK("https://www.facebook.com/ChefMarilynsSoulFoodExpress/","Chef Marilyn's")</f>
        <v>Chef Marilyn's</v>
      </c>
      <c r="B60" s="7" t="s">
        <v>299</v>
      </c>
      <c r="C60" s="2" t="s">
        <v>41</v>
      </c>
      <c r="D60" s="2">
        <v>3.0</v>
      </c>
      <c r="E60" s="2">
        <v>1.0</v>
      </c>
      <c r="F60" s="9" t="s">
        <v>305</v>
      </c>
      <c r="G60" s="10" t="s">
        <v>306</v>
      </c>
      <c r="H60" s="11" t="s">
        <v>307</v>
      </c>
      <c r="I60" s="13" t="s">
        <v>303</v>
      </c>
      <c r="J60" s="14">
        <v>42974.0</v>
      </c>
      <c r="K60" s="11" t="s">
        <v>30</v>
      </c>
      <c r="L60" s="9">
        <v>1.0</v>
      </c>
      <c r="M60" s="15"/>
      <c r="N60" s="2"/>
      <c r="O60" s="2"/>
      <c r="P60" s="2"/>
      <c r="Q60" s="2"/>
      <c r="R60" s="2"/>
      <c r="S60" s="2"/>
      <c r="T60" s="2"/>
      <c r="U60" s="2"/>
      <c r="V60" s="2"/>
    </row>
    <row r="61">
      <c r="A61" s="6" t="str">
        <f>HYPERLINK("http://littlejewel.la/","Little Jewel of New Orleans")</f>
        <v>Little Jewel of New Orleans</v>
      </c>
      <c r="B61" s="7" t="s">
        <v>299</v>
      </c>
      <c r="C61" s="2" t="s">
        <v>21</v>
      </c>
      <c r="D61" s="2">
        <v>3.0</v>
      </c>
      <c r="E61" s="2">
        <v>1.0</v>
      </c>
      <c r="F61" s="9" t="s">
        <v>308</v>
      </c>
      <c r="G61" s="10" t="s">
        <v>310</v>
      </c>
      <c r="H61" s="11" t="s">
        <v>311</v>
      </c>
      <c r="I61" s="13" t="s">
        <v>303</v>
      </c>
      <c r="J61" s="14">
        <v>42974.0</v>
      </c>
      <c r="K61" s="11" t="s">
        <v>30</v>
      </c>
      <c r="L61" s="9">
        <v>2.0</v>
      </c>
      <c r="M61" s="15"/>
      <c r="N61" s="15"/>
      <c r="O61" s="15"/>
      <c r="P61" s="15"/>
      <c r="Q61" s="15"/>
      <c r="R61" s="15"/>
      <c r="S61" s="15"/>
      <c r="T61" s="15"/>
      <c r="U61" s="15"/>
      <c r="V61" s="15"/>
    </row>
    <row r="62">
      <c r="A62" s="6" t="str">
        <f>HYPERLINK("https://barrelandashes.com/","CLOSED Barrel &amp; Ashes")</f>
        <v>CLOSED Barrel &amp; Ashes</v>
      </c>
      <c r="B62" s="7" t="s">
        <v>312</v>
      </c>
      <c r="C62" s="2" t="s">
        <v>21</v>
      </c>
      <c r="D62" s="2">
        <v>3.0</v>
      </c>
      <c r="E62" s="2">
        <v>2.0</v>
      </c>
      <c r="F62" s="9" t="s">
        <v>313</v>
      </c>
      <c r="G62" s="10" t="s">
        <v>314</v>
      </c>
      <c r="H62" s="11" t="s">
        <v>315</v>
      </c>
      <c r="I62" s="13" t="s">
        <v>316</v>
      </c>
      <c r="J62" s="14">
        <v>42981.0</v>
      </c>
      <c r="K62" s="11" t="s">
        <v>30</v>
      </c>
      <c r="L62" s="9">
        <v>1.0</v>
      </c>
      <c r="M62" s="2" t="s">
        <v>318</v>
      </c>
      <c r="N62" s="15"/>
      <c r="O62" s="15"/>
      <c r="P62" s="15"/>
      <c r="Q62" s="15"/>
      <c r="R62" s="15"/>
      <c r="S62" s="15"/>
      <c r="T62" s="15"/>
      <c r="U62" s="15"/>
      <c r="V62" s="15"/>
    </row>
    <row r="63">
      <c r="A63" s="6" t="str">
        <f>HYPERLINK("http://www.bigmista.com/","CLOSED Bigmista's Barbecue &amp; Sammich Shop")</f>
        <v>CLOSED Bigmista's Barbecue &amp; Sammich Shop</v>
      </c>
      <c r="B63" s="7" t="s">
        <v>312</v>
      </c>
      <c r="C63" s="2" t="s">
        <v>41</v>
      </c>
      <c r="D63" s="2">
        <v>3.0</v>
      </c>
      <c r="E63" s="2">
        <v>2.0</v>
      </c>
      <c r="F63" s="9" t="s">
        <v>319</v>
      </c>
      <c r="G63" s="10" t="s">
        <v>320</v>
      </c>
      <c r="H63" s="11" t="s">
        <v>321</v>
      </c>
      <c r="I63" s="13" t="s">
        <v>316</v>
      </c>
      <c r="J63" s="14">
        <v>42981.0</v>
      </c>
      <c r="K63" s="11" t="s">
        <v>30</v>
      </c>
      <c r="L63" s="9">
        <v>2.0</v>
      </c>
      <c r="M63" s="15"/>
      <c r="N63" s="2"/>
      <c r="O63" s="2"/>
      <c r="P63" s="2"/>
      <c r="Q63" s="2"/>
      <c r="R63" s="2"/>
      <c r="S63" s="2"/>
      <c r="T63" s="2"/>
      <c r="U63" s="2"/>
      <c r="V63" s="2"/>
    </row>
    <row r="64">
      <c r="A64" s="6" t="str">
        <f>HYPERLINK("https://mapleblockmeat.com/","Maple Block Meat Co")</f>
        <v>Maple Block Meat Co</v>
      </c>
      <c r="B64" s="7" t="s">
        <v>312</v>
      </c>
      <c r="C64" s="2" t="s">
        <v>33</v>
      </c>
      <c r="D64" s="2">
        <v>3.0</v>
      </c>
      <c r="E64" s="2">
        <v>2.0</v>
      </c>
      <c r="F64" s="9" t="s">
        <v>323</v>
      </c>
      <c r="G64" s="10" t="s">
        <v>324</v>
      </c>
      <c r="H64" s="11" t="s">
        <v>325</v>
      </c>
      <c r="I64" s="13" t="s">
        <v>316</v>
      </c>
      <c r="J64" s="14">
        <v>42981.0</v>
      </c>
      <c r="K64" s="11" t="s">
        <v>30</v>
      </c>
      <c r="L64" s="9"/>
      <c r="M64" s="2" t="s">
        <v>318</v>
      </c>
      <c r="N64" s="15"/>
      <c r="O64" s="15"/>
      <c r="P64" s="15"/>
      <c r="Q64" s="15"/>
      <c r="R64" s="15"/>
      <c r="S64" s="15"/>
      <c r="T64" s="15"/>
      <c r="U64" s="15"/>
      <c r="V64" s="15"/>
    </row>
    <row r="65">
      <c r="A65" s="6" t="str">
        <f>HYPERLINK("https://www.cirrusdining.com.au/","Cirrus")</f>
        <v>Cirrus</v>
      </c>
      <c r="B65" s="7" t="s">
        <v>326</v>
      </c>
      <c r="C65" s="2" t="s">
        <v>21</v>
      </c>
      <c r="D65" s="2">
        <v>3.0</v>
      </c>
      <c r="E65" s="2">
        <v>3.0</v>
      </c>
      <c r="F65" s="9" t="s">
        <v>327</v>
      </c>
      <c r="G65" s="10" t="s">
        <v>328</v>
      </c>
      <c r="H65" s="11" t="s">
        <v>329</v>
      </c>
      <c r="I65" s="13" t="s">
        <v>330</v>
      </c>
      <c r="J65" s="14">
        <v>42988.0</v>
      </c>
      <c r="K65" s="11" t="s">
        <v>30</v>
      </c>
      <c r="L65" s="9">
        <v>3.0</v>
      </c>
      <c r="M65" s="2" t="s">
        <v>332</v>
      </c>
      <c r="N65" s="2"/>
      <c r="O65" s="2"/>
      <c r="P65" s="2"/>
      <c r="Q65" s="2"/>
      <c r="R65" s="2"/>
      <c r="S65" s="2"/>
      <c r="T65" s="2"/>
      <c r="U65" s="2"/>
      <c r="V65" s="2"/>
    </row>
    <row r="66">
      <c r="A66" s="6" t="str">
        <f>HYPERLINK("http://www.doyles.com.au/","Doyle's Oyster Bar")</f>
        <v>Doyle's Oyster Bar</v>
      </c>
      <c r="B66" s="7" t="s">
        <v>326</v>
      </c>
      <c r="C66" s="2" t="s">
        <v>41</v>
      </c>
      <c r="D66" s="2">
        <v>3.0</v>
      </c>
      <c r="E66" s="2">
        <v>3.0</v>
      </c>
      <c r="F66" s="9" t="s">
        <v>333</v>
      </c>
      <c r="G66" s="10" t="s">
        <v>334</v>
      </c>
      <c r="H66" s="11" t="s">
        <v>335</v>
      </c>
      <c r="I66" s="13" t="s">
        <v>330</v>
      </c>
      <c r="J66" s="14">
        <v>42988.0</v>
      </c>
      <c r="K66" s="11" t="s">
        <v>30</v>
      </c>
      <c r="L66" s="9"/>
      <c r="M66" s="2" t="s">
        <v>336</v>
      </c>
      <c r="N66" s="15"/>
      <c r="O66" s="15"/>
      <c r="P66" s="15"/>
      <c r="Q66" s="15"/>
      <c r="R66" s="15"/>
      <c r="S66" s="15"/>
      <c r="T66" s="15"/>
      <c r="U66" s="15"/>
      <c r="V66" s="15"/>
    </row>
    <row r="67">
      <c r="A67" s="6" t="str">
        <f>HYPERLINK("https://www.crownmelbourne.com.au/restaurants/premium/silks/info-booking","Silks")</f>
        <v>Silks</v>
      </c>
      <c r="B67" s="7" t="s">
        <v>326</v>
      </c>
      <c r="C67" s="2" t="s">
        <v>33</v>
      </c>
      <c r="D67" s="2">
        <v>3.0</v>
      </c>
      <c r="E67" s="2">
        <v>3.0</v>
      </c>
      <c r="F67" s="9" t="s">
        <v>338</v>
      </c>
      <c r="G67" s="10" t="s">
        <v>339</v>
      </c>
      <c r="H67" s="11" t="s">
        <v>340</v>
      </c>
      <c r="I67" s="13" t="s">
        <v>330</v>
      </c>
      <c r="J67" s="14">
        <v>42988.0</v>
      </c>
      <c r="K67" s="11" t="s">
        <v>30</v>
      </c>
      <c r="L67" s="9"/>
      <c r="M67" s="2" t="s">
        <v>332</v>
      </c>
      <c r="N67" s="15"/>
      <c r="O67" s="15"/>
      <c r="P67" s="15"/>
      <c r="Q67" s="15"/>
      <c r="R67" s="15"/>
      <c r="S67" s="15"/>
      <c r="T67" s="15"/>
      <c r="U67" s="15"/>
      <c r="V67" s="15"/>
    </row>
    <row r="68">
      <c r="A68" s="6" t="str">
        <f>HYPERLINK("https://www.allsaintswine.com.au/","All Saints Estate Winery")</f>
        <v>All Saints Estate Winery</v>
      </c>
      <c r="B68" s="7" t="s">
        <v>342</v>
      </c>
      <c r="C68" s="2" t="s">
        <v>33</v>
      </c>
      <c r="D68" s="2">
        <v>3.0</v>
      </c>
      <c r="E68" s="2">
        <v>4.0</v>
      </c>
      <c r="F68" s="9" t="s">
        <v>344</v>
      </c>
      <c r="G68" s="10" t="s">
        <v>345</v>
      </c>
      <c r="H68" s="11" t="s">
        <v>346</v>
      </c>
      <c r="I68" s="13" t="s">
        <v>347</v>
      </c>
      <c r="J68" s="14">
        <v>42995.0</v>
      </c>
      <c r="K68" s="11" t="s">
        <v>30</v>
      </c>
      <c r="L68" s="9">
        <v>1.0</v>
      </c>
      <c r="M68" s="2" t="s">
        <v>348</v>
      </c>
      <c r="N68" s="15"/>
      <c r="O68" s="15"/>
      <c r="P68" s="15"/>
      <c r="Q68" s="15"/>
      <c r="R68" s="15"/>
      <c r="S68" s="15"/>
      <c r="T68" s="15"/>
      <c r="U68" s="15"/>
      <c r="V68" s="15"/>
    </row>
    <row r="69">
      <c r="A69" s="6" t="str">
        <f>HYPERLINK("https://www.fowleswine.com/","Fowles Wine")</f>
        <v>Fowles Wine</v>
      </c>
      <c r="B69" s="7" t="s">
        <v>342</v>
      </c>
      <c r="C69" s="2" t="s">
        <v>21</v>
      </c>
      <c r="D69" s="2">
        <v>3.0</v>
      </c>
      <c r="E69" s="2">
        <v>4.0</v>
      </c>
      <c r="F69" s="9" t="s">
        <v>349</v>
      </c>
      <c r="G69" s="10" t="s">
        <v>350</v>
      </c>
      <c r="H69" s="11" t="s">
        <v>351</v>
      </c>
      <c r="I69" s="13" t="s">
        <v>347</v>
      </c>
      <c r="J69" s="14">
        <v>42995.0</v>
      </c>
      <c r="K69" s="11" t="s">
        <v>30</v>
      </c>
      <c r="L69" s="9">
        <v>2.0</v>
      </c>
      <c r="M69" s="2" t="s">
        <v>332</v>
      </c>
      <c r="N69" s="2"/>
      <c r="O69" s="2"/>
      <c r="P69" s="2"/>
      <c r="Q69" s="2"/>
      <c r="R69" s="2"/>
      <c r="S69" s="2"/>
      <c r="T69" s="2"/>
      <c r="U69" s="2"/>
      <c r="V69" s="2"/>
    </row>
    <row r="70">
      <c r="A70" s="6" t="str">
        <f>HYPERLINK("http://www.tahbilk.com.au/","Tahbilk Winery")</f>
        <v>Tahbilk Winery</v>
      </c>
      <c r="B70" s="7" t="s">
        <v>342</v>
      </c>
      <c r="C70" s="2" t="s">
        <v>41</v>
      </c>
      <c r="D70" s="2">
        <v>3.0</v>
      </c>
      <c r="E70" s="2">
        <v>4.0</v>
      </c>
      <c r="F70" s="9" t="s">
        <v>353</v>
      </c>
      <c r="G70" s="10" t="s">
        <v>354</v>
      </c>
      <c r="H70" s="11" t="s">
        <v>355</v>
      </c>
      <c r="I70" s="13" t="s">
        <v>347</v>
      </c>
      <c r="J70" s="14">
        <v>42995.0</v>
      </c>
      <c r="K70" s="11" t="s">
        <v>30</v>
      </c>
      <c r="L70" s="9"/>
      <c r="M70" s="2" t="s">
        <v>332</v>
      </c>
      <c r="N70" s="2"/>
      <c r="O70" s="2"/>
      <c r="P70" s="2"/>
      <c r="Q70" s="2"/>
      <c r="R70" s="2"/>
      <c r="S70" s="2"/>
      <c r="T70" s="2"/>
      <c r="U70" s="2"/>
      <c r="V70" s="2"/>
    </row>
    <row r="71">
      <c r="A71" s="6" t="str">
        <f>HYPERLINK("https://donovans.com.au/","Donovan's")</f>
        <v>Donovan's</v>
      </c>
      <c r="B71" s="7" t="s">
        <v>356</v>
      </c>
      <c r="C71" s="2" t="s">
        <v>21</v>
      </c>
      <c r="D71" s="2">
        <v>3.0</v>
      </c>
      <c r="E71" s="2">
        <v>5.0</v>
      </c>
      <c r="F71" s="9" t="s">
        <v>357</v>
      </c>
      <c r="G71" s="10" t="s">
        <v>358</v>
      </c>
      <c r="H71" s="11" t="s">
        <v>359</v>
      </c>
      <c r="I71" s="13" t="s">
        <v>360</v>
      </c>
      <c r="J71" s="14">
        <v>43002.0</v>
      </c>
      <c r="K71" s="11" t="s">
        <v>30</v>
      </c>
      <c r="L71" s="9">
        <v>2.0</v>
      </c>
      <c r="M71" s="2" t="s">
        <v>332</v>
      </c>
      <c r="N71" s="2"/>
      <c r="O71" s="2"/>
      <c r="P71" s="2"/>
      <c r="Q71" s="2"/>
      <c r="R71" s="2"/>
      <c r="S71" s="2"/>
      <c r="T71" s="2"/>
      <c r="U71" s="2"/>
      <c r="V71" s="2"/>
    </row>
    <row r="72">
      <c r="A72" s="6" t="str">
        <f>HYPERLINK("http://www.rockpool.com/rockpoolbarandgrillsydney/","Rockpool Bar &amp; Grill")</f>
        <v>Rockpool Bar &amp; Grill</v>
      </c>
      <c r="B72" s="7" t="s">
        <v>356</v>
      </c>
      <c r="C72" s="2" t="s">
        <v>33</v>
      </c>
      <c r="D72" s="2">
        <v>3.0</v>
      </c>
      <c r="E72" s="2">
        <v>5.0</v>
      </c>
      <c r="F72" s="2" t="s">
        <v>363</v>
      </c>
      <c r="G72" s="10" t="s">
        <v>364</v>
      </c>
      <c r="H72" s="11" t="s">
        <v>365</v>
      </c>
      <c r="I72" s="13" t="s">
        <v>360</v>
      </c>
      <c r="J72" s="14">
        <v>43002.0</v>
      </c>
      <c r="K72" s="11" t="s">
        <v>30</v>
      </c>
      <c r="L72" s="9"/>
      <c r="M72" s="2" t="s">
        <v>332</v>
      </c>
      <c r="N72" s="15"/>
      <c r="O72" s="15"/>
      <c r="P72" s="15"/>
      <c r="Q72" s="15"/>
      <c r="R72" s="15"/>
      <c r="S72" s="15"/>
      <c r="T72" s="15"/>
      <c r="U72" s="15"/>
      <c r="V72" s="15"/>
    </row>
    <row r="73">
      <c r="A73" s="6" t="str">
        <f>HYPERLINK("https://www.clovellyhotel.com.au/","The Clovelly Hotel")</f>
        <v>The Clovelly Hotel</v>
      </c>
      <c r="B73" s="7" t="s">
        <v>356</v>
      </c>
      <c r="C73" s="2" t="s">
        <v>41</v>
      </c>
      <c r="D73" s="2">
        <v>3.0</v>
      </c>
      <c r="E73" s="2">
        <v>5.0</v>
      </c>
      <c r="F73" s="9" t="s">
        <v>367</v>
      </c>
      <c r="G73" s="10" t="s">
        <v>368</v>
      </c>
      <c r="H73" s="11" t="s">
        <v>369</v>
      </c>
      <c r="I73" s="13" t="s">
        <v>360</v>
      </c>
      <c r="J73" s="14">
        <v>43002.0</v>
      </c>
      <c r="K73" s="11" t="s">
        <v>30</v>
      </c>
      <c r="L73" s="9"/>
      <c r="M73" s="2" t="s">
        <v>332</v>
      </c>
      <c r="N73" s="15"/>
      <c r="O73" s="15"/>
      <c r="P73" s="15"/>
      <c r="Q73" s="15"/>
      <c r="R73" s="15"/>
      <c r="S73" s="15"/>
      <c r="T73" s="15"/>
      <c r="U73" s="15"/>
      <c r="V73" s="15"/>
    </row>
    <row r="74">
      <c r="A74" s="6" t="str">
        <f>HYPERLINK("https://noodlebar-ny.momofuku.com/","Momofuku Noodle Bar")</f>
        <v>Momofuku Noodle Bar</v>
      </c>
      <c r="B74" s="7" t="s">
        <v>370</v>
      </c>
      <c r="C74" s="2" t="s">
        <v>33</v>
      </c>
      <c r="D74" s="2">
        <v>3.0</v>
      </c>
      <c r="E74" s="2">
        <v>6.0</v>
      </c>
      <c r="F74" s="9" t="s">
        <v>371</v>
      </c>
      <c r="G74" s="10" t="s">
        <v>372</v>
      </c>
      <c r="H74" s="11" t="s">
        <v>373</v>
      </c>
      <c r="I74" s="13" t="s">
        <v>374</v>
      </c>
      <c r="J74" s="14">
        <v>43009.0</v>
      </c>
      <c r="K74" s="2" t="s">
        <v>37</v>
      </c>
      <c r="L74" s="9">
        <v>2.0</v>
      </c>
      <c r="M74" s="2" t="s">
        <v>377</v>
      </c>
      <c r="N74" s="15"/>
      <c r="O74" s="15"/>
      <c r="P74" s="15"/>
      <c r="Q74" s="15"/>
      <c r="R74" s="15"/>
      <c r="S74" s="15"/>
      <c r="T74" s="15"/>
      <c r="U74" s="15"/>
      <c r="V74" s="15"/>
    </row>
    <row r="75">
      <c r="A75" s="6" t="str">
        <f>HYPERLINK("https://www.redroosterharlem.com/","Red Rooster")</f>
        <v>Red Rooster</v>
      </c>
      <c r="B75" s="7" t="s">
        <v>370</v>
      </c>
      <c r="C75" s="2" t="s">
        <v>21</v>
      </c>
      <c r="D75" s="2">
        <v>3.0</v>
      </c>
      <c r="E75" s="2">
        <v>6.0</v>
      </c>
      <c r="F75" s="9" t="s">
        <v>378</v>
      </c>
      <c r="G75" s="10" t="s">
        <v>379</v>
      </c>
      <c r="H75" s="11" t="s">
        <v>380</v>
      </c>
      <c r="I75" s="13" t="s">
        <v>374</v>
      </c>
      <c r="J75" s="14">
        <v>43009.0</v>
      </c>
      <c r="K75" s="11" t="s">
        <v>30</v>
      </c>
      <c r="L75" s="9">
        <v>1.0</v>
      </c>
      <c r="M75" s="15"/>
      <c r="N75" s="15"/>
      <c r="O75" s="15"/>
      <c r="P75" s="15"/>
      <c r="Q75" s="15"/>
      <c r="R75" s="15"/>
      <c r="S75" s="15"/>
      <c r="T75" s="15"/>
      <c r="U75" s="15"/>
      <c r="V75" s="15"/>
    </row>
    <row r="76">
      <c r="A76" s="6" t="str">
        <f>HYPERLINK("http://sylviasrestaurant.com/","Sylvia's Restaurant")</f>
        <v>Sylvia's Restaurant</v>
      </c>
      <c r="B76" s="7" t="s">
        <v>370</v>
      </c>
      <c r="C76" s="2" t="s">
        <v>41</v>
      </c>
      <c r="D76" s="2">
        <v>3.0</v>
      </c>
      <c r="E76" s="2">
        <v>6.0</v>
      </c>
      <c r="F76" s="9" t="s">
        <v>382</v>
      </c>
      <c r="G76" s="10" t="s">
        <v>383</v>
      </c>
      <c r="H76" s="11" t="s">
        <v>384</v>
      </c>
      <c r="I76" s="13" t="s">
        <v>374</v>
      </c>
      <c r="J76" s="14">
        <v>43009.0</v>
      </c>
      <c r="K76" s="11" t="s">
        <v>30</v>
      </c>
      <c r="L76" s="9"/>
      <c r="M76" s="15"/>
      <c r="N76" s="15"/>
      <c r="O76" s="15"/>
      <c r="P76" s="15"/>
      <c r="Q76" s="15"/>
      <c r="R76" s="15"/>
      <c r="S76" s="15"/>
      <c r="T76" s="15"/>
      <c r="U76" s="15"/>
      <c r="V76" s="15"/>
    </row>
    <row r="77">
      <c r="A77" s="6" t="str">
        <f>HYPERLINK("https://goo.gl/maps/B1KPAVyD4Z1V4Atx5","CLOSED A-Frame")</f>
        <v>CLOSED A-Frame</v>
      </c>
      <c r="B77" s="7" t="s">
        <v>385</v>
      </c>
      <c r="C77" s="2" t="s">
        <v>21</v>
      </c>
      <c r="D77" s="2">
        <v>3.0</v>
      </c>
      <c r="E77" s="2">
        <v>7.0</v>
      </c>
      <c r="F77" s="9" t="s">
        <v>386</v>
      </c>
      <c r="G77" s="23" t="s">
        <v>387</v>
      </c>
      <c r="H77" s="11" t="s">
        <v>389</v>
      </c>
      <c r="I77" s="13" t="s">
        <v>390</v>
      </c>
      <c r="J77" s="14">
        <v>43016.0</v>
      </c>
      <c r="K77" s="11" t="s">
        <v>30</v>
      </c>
      <c r="L77" s="9">
        <v>2.0</v>
      </c>
      <c r="M77" s="15"/>
      <c r="N77" s="15"/>
      <c r="O77" s="15"/>
      <c r="P77" s="15"/>
      <c r="Q77" s="15"/>
      <c r="R77" s="15"/>
      <c r="S77" s="15"/>
      <c r="T77" s="15"/>
      <c r="U77" s="15"/>
      <c r="V77" s="15"/>
    </row>
    <row r="78">
      <c r="A78" s="6" t="str">
        <f>HYPERLINK("https://www.myhomestate.com/menu/","Homestate")</f>
        <v>Homestate</v>
      </c>
      <c r="B78" s="7" t="s">
        <v>385</v>
      </c>
      <c r="C78" s="2" t="s">
        <v>41</v>
      </c>
      <c r="D78" s="2">
        <v>3.0</v>
      </c>
      <c r="E78" s="2">
        <v>7.0</v>
      </c>
      <c r="F78" s="9" t="s">
        <v>392</v>
      </c>
      <c r="G78" s="10" t="s">
        <v>393</v>
      </c>
      <c r="H78" s="11" t="s">
        <v>394</v>
      </c>
      <c r="I78" s="13" t="s">
        <v>390</v>
      </c>
      <c r="J78" s="14">
        <v>43016.0</v>
      </c>
      <c r="K78" s="11" t="s">
        <v>30</v>
      </c>
      <c r="L78" s="9">
        <v>1.0</v>
      </c>
      <c r="M78" s="15"/>
      <c r="N78" s="15"/>
      <c r="O78" s="15"/>
      <c r="P78" s="15"/>
      <c r="Q78" s="15"/>
      <c r="R78" s="15"/>
      <c r="S78" s="15"/>
      <c r="T78" s="15"/>
      <c r="U78" s="15"/>
      <c r="V78" s="15"/>
    </row>
    <row r="79">
      <c r="A79" s="6" t="str">
        <f>HYPERLINK("https://www.peninsula.com/en/beverly-hills/hotel-fine-dining/belvedere-mediterranean","The Belvedere")</f>
        <v>The Belvedere</v>
      </c>
      <c r="B79" s="7" t="s">
        <v>385</v>
      </c>
      <c r="C79" s="2" t="s">
        <v>33</v>
      </c>
      <c r="D79" s="2">
        <v>3.0</v>
      </c>
      <c r="E79" s="2">
        <v>7.0</v>
      </c>
      <c r="F79" s="9" t="s">
        <v>396</v>
      </c>
      <c r="G79" s="10" t="s">
        <v>397</v>
      </c>
      <c r="H79" s="11" t="s">
        <v>398</v>
      </c>
      <c r="I79" s="13" t="s">
        <v>390</v>
      </c>
      <c r="J79" s="14">
        <v>43016.0</v>
      </c>
      <c r="K79" s="11" t="s">
        <v>30</v>
      </c>
      <c r="L79" s="9"/>
      <c r="M79" s="15"/>
      <c r="N79" s="2"/>
      <c r="O79" s="2"/>
      <c r="P79" s="2"/>
      <c r="Q79" s="2"/>
      <c r="R79" s="2"/>
      <c r="S79" s="2"/>
      <c r="T79" s="2"/>
      <c r="U79" s="2"/>
      <c r="V79" s="2"/>
    </row>
    <row r="80">
      <c r="A80" s="6" t="str">
        <f>HYPERLINK("https://www.facebook.com/mengekijyougeneiroppongi/?ref=py_c&amp;utm_source=tripadvisor&amp;utm_medium=referral","CLOSED Genei Tokyo")</f>
        <v>CLOSED Genei Tokyo</v>
      </c>
      <c r="B80" s="7" t="s">
        <v>399</v>
      </c>
      <c r="C80" s="2" t="s">
        <v>33</v>
      </c>
      <c r="D80" s="2">
        <v>3.0</v>
      </c>
      <c r="E80" s="2">
        <v>8.0</v>
      </c>
      <c r="F80" s="9" t="s">
        <v>400</v>
      </c>
      <c r="G80" s="10" t="s">
        <v>401</v>
      </c>
      <c r="H80" s="11" t="s">
        <v>402</v>
      </c>
      <c r="I80" s="13" t="s">
        <v>403</v>
      </c>
      <c r="J80" s="14">
        <v>43023.0</v>
      </c>
      <c r="K80" s="11" t="s">
        <v>30</v>
      </c>
      <c r="L80" s="9"/>
      <c r="M80" s="2" t="s">
        <v>404</v>
      </c>
      <c r="N80" s="2"/>
      <c r="O80" s="2"/>
      <c r="P80" s="2"/>
      <c r="Q80" s="2"/>
      <c r="R80" s="2"/>
      <c r="S80" s="2"/>
      <c r="T80" s="2"/>
      <c r="U80" s="2"/>
      <c r="V80" s="2"/>
    </row>
    <row r="81">
      <c r="A81" s="6" t="str">
        <f>HYPERLINK("http://rinrin.food46.com/","Rinrin")</f>
        <v>Rinrin</v>
      </c>
      <c r="B81" s="7" t="s">
        <v>399</v>
      </c>
      <c r="C81" s="2" t="s">
        <v>41</v>
      </c>
      <c r="D81" s="2">
        <v>3.0</v>
      </c>
      <c r="E81" s="2">
        <v>8.0</v>
      </c>
      <c r="F81" s="9" t="s">
        <v>405</v>
      </c>
      <c r="G81" s="10" t="s">
        <v>406</v>
      </c>
      <c r="H81" s="11" t="s">
        <v>408</v>
      </c>
      <c r="I81" s="13" t="s">
        <v>403</v>
      </c>
      <c r="J81" s="14">
        <v>43023.0</v>
      </c>
      <c r="K81" s="11" t="s">
        <v>30</v>
      </c>
      <c r="L81" s="9">
        <v>2.0</v>
      </c>
      <c r="M81" s="15"/>
      <c r="N81" s="15"/>
      <c r="O81" s="15"/>
      <c r="P81" s="15"/>
      <c r="Q81" s="15"/>
      <c r="R81" s="15"/>
      <c r="S81" s="15"/>
      <c r="T81" s="15"/>
      <c r="U81" s="15"/>
      <c r="V81" s="15"/>
    </row>
    <row r="82">
      <c r="A82" s="6" t="str">
        <f>HYPERLINK("http://www.tsuta.com/","Tsuta Japanese Soba Noodles")</f>
        <v>Tsuta Japanese Soba Noodles</v>
      </c>
      <c r="B82" s="7" t="s">
        <v>399</v>
      </c>
      <c r="C82" s="2" t="s">
        <v>21</v>
      </c>
      <c r="D82" s="2">
        <v>3.0</v>
      </c>
      <c r="E82" s="2">
        <v>8.0</v>
      </c>
      <c r="F82" s="9" t="s">
        <v>409</v>
      </c>
      <c r="G82" s="10" t="s">
        <v>410</v>
      </c>
      <c r="H82" s="11" t="s">
        <v>411</v>
      </c>
      <c r="I82" s="13" t="s">
        <v>403</v>
      </c>
      <c r="J82" s="14">
        <v>43023.0</v>
      </c>
      <c r="K82" s="11" t="s">
        <v>30</v>
      </c>
      <c r="L82" s="9">
        <v>2.0</v>
      </c>
      <c r="M82" s="15"/>
      <c r="N82" s="15"/>
      <c r="O82" s="15"/>
      <c r="P82" s="15"/>
      <c r="Q82" s="15"/>
      <c r="R82" s="15"/>
      <c r="S82" s="15"/>
      <c r="T82" s="15"/>
      <c r="U82" s="15"/>
      <c r="V82" s="15"/>
    </row>
    <row r="83">
      <c r="A83" s="6" t="str">
        <f>HYPERLINK("https://www.facebook.com/coffeeelementaryschool/","Coffee Elementary School")</f>
        <v>Coffee Elementary School</v>
      </c>
      <c r="B83" s="7" t="s">
        <v>413</v>
      </c>
      <c r="C83" s="2" t="s">
        <v>21</v>
      </c>
      <c r="D83" s="2">
        <v>3.0</v>
      </c>
      <c r="E83" s="2">
        <v>9.0</v>
      </c>
      <c r="F83" s="9" t="s">
        <v>414</v>
      </c>
      <c r="G83" s="10" t="s">
        <v>415</v>
      </c>
      <c r="H83" s="11" t="s">
        <v>416</v>
      </c>
      <c r="I83" s="13" t="s">
        <v>417</v>
      </c>
      <c r="J83" s="14">
        <v>43030.0</v>
      </c>
      <c r="K83" s="11" t="s">
        <v>30</v>
      </c>
      <c r="L83" s="9">
        <v>3.0</v>
      </c>
      <c r="M83" s="15"/>
      <c r="N83" s="15"/>
      <c r="O83" s="15"/>
      <c r="P83" s="15"/>
      <c r="Q83" s="15"/>
      <c r="R83" s="15"/>
      <c r="S83" s="15"/>
      <c r="T83" s="15"/>
      <c r="U83" s="15"/>
      <c r="V83" s="15"/>
    </row>
    <row r="84">
      <c r="A84" s="6" t="str">
        <f>HYPERLINK("http://www.rostar.jp/","R.O.Star")</f>
        <v>R.O.Star</v>
      </c>
      <c r="B84" s="7" t="s">
        <v>413</v>
      </c>
      <c r="C84" s="2" t="s">
        <v>41</v>
      </c>
      <c r="D84" s="2">
        <v>3.0</v>
      </c>
      <c r="E84" s="2">
        <v>9.0</v>
      </c>
      <c r="F84" s="9" t="s">
        <v>419</v>
      </c>
      <c r="G84" s="10" t="s">
        <v>420</v>
      </c>
      <c r="H84" s="11" t="s">
        <v>421</v>
      </c>
      <c r="I84" s="13" t="s">
        <v>417</v>
      </c>
      <c r="J84" s="14">
        <v>43030.0</v>
      </c>
      <c r="K84" s="11" t="s">
        <v>30</v>
      </c>
      <c r="L84" s="9">
        <v>1.0</v>
      </c>
      <c r="M84" s="15"/>
      <c r="N84" s="15"/>
      <c r="O84" s="15"/>
      <c r="P84" s="15"/>
      <c r="Q84" s="15"/>
      <c r="R84" s="15"/>
      <c r="S84" s="15"/>
      <c r="T84" s="15"/>
      <c r="U84" s="15"/>
      <c r="V84" s="15"/>
    </row>
    <row r="85">
      <c r="A85" s="6" t="str">
        <f>HYPERLINK("https://www.yelp.com/biz/%E3%82%B6-%E3%83%9F%E3%83%A5%E3%83%B3%E3%83%92-%E7%8F%88%E7%90%B2%E3%81%A0%E3%81%91%E3%81%AE%E5%BA%97-%E5%85%AB%E5%B0%BE%E5%B8%82","The Münch")</f>
        <v>The Münch</v>
      </c>
      <c r="B85" s="7" t="s">
        <v>413</v>
      </c>
      <c r="C85" s="2" t="s">
        <v>33</v>
      </c>
      <c r="D85" s="2">
        <v>3.0</v>
      </c>
      <c r="E85" s="2">
        <v>9.0</v>
      </c>
      <c r="F85" s="9" t="s">
        <v>422</v>
      </c>
      <c r="G85" s="10" t="s">
        <v>423</v>
      </c>
      <c r="H85" s="11" t="s">
        <v>424</v>
      </c>
      <c r="I85" s="13" t="s">
        <v>417</v>
      </c>
      <c r="J85" s="14">
        <v>43030.0</v>
      </c>
      <c r="K85" s="11" t="s">
        <v>30</v>
      </c>
      <c r="L85" s="9"/>
      <c r="M85" s="15"/>
      <c r="N85" s="15"/>
      <c r="O85" s="15"/>
      <c r="P85" s="15"/>
      <c r="Q85" s="15"/>
      <c r="R85" s="15"/>
      <c r="S85" s="15"/>
      <c r="T85" s="15"/>
      <c r="U85" s="15"/>
      <c r="V85" s="15"/>
    </row>
    <row r="86">
      <c r="A86" s="6" t="str">
        <f>HYPERLINK("https://www.pablo3.com/shop/detail/?seq=32","CLOSED Pablo Coffee")</f>
        <v>CLOSED Pablo Coffee</v>
      </c>
      <c r="B86" s="7" t="s">
        <v>425</v>
      </c>
      <c r="C86" s="2" t="s">
        <v>41</v>
      </c>
      <c r="D86" s="2">
        <v>3.0</v>
      </c>
      <c r="E86" s="2">
        <v>10.0</v>
      </c>
      <c r="F86" s="9" t="s">
        <v>426</v>
      </c>
      <c r="G86" s="10" t="s">
        <v>427</v>
      </c>
      <c r="H86" s="11" t="s">
        <v>428</v>
      </c>
      <c r="I86" s="13" t="s">
        <v>429</v>
      </c>
      <c r="J86" s="14">
        <v>43037.0</v>
      </c>
      <c r="K86" s="11" t="s">
        <v>30</v>
      </c>
      <c r="L86" s="9"/>
      <c r="M86" s="15"/>
      <c r="N86" s="15"/>
      <c r="O86" s="15"/>
      <c r="P86" s="15"/>
      <c r="Q86" s="15"/>
      <c r="R86" s="15"/>
      <c r="S86" s="15"/>
      <c r="T86" s="15"/>
      <c r="U86" s="15"/>
      <c r="V86" s="15"/>
    </row>
    <row r="87">
      <c r="A87" s="6" t="str">
        <f>HYPERLINK("https://www.newotani.co.jp/en/tokyo/restaurant/p-satsuki/","Patisserie Satsuki")</f>
        <v>Patisserie Satsuki</v>
      </c>
      <c r="B87" s="7" t="s">
        <v>425</v>
      </c>
      <c r="C87" s="2" t="s">
        <v>33</v>
      </c>
      <c r="D87" s="2">
        <v>3.0</v>
      </c>
      <c r="E87" s="2">
        <v>10.0</v>
      </c>
      <c r="F87" s="9" t="s">
        <v>432</v>
      </c>
      <c r="G87" s="10" t="s">
        <v>433</v>
      </c>
      <c r="H87" s="11" t="s">
        <v>434</v>
      </c>
      <c r="I87" s="13" t="s">
        <v>429</v>
      </c>
      <c r="J87" s="14">
        <v>43037.0</v>
      </c>
      <c r="K87" s="11" t="s">
        <v>30</v>
      </c>
      <c r="L87" s="9"/>
      <c r="M87" s="2" t="s">
        <v>163</v>
      </c>
      <c r="N87" s="15"/>
      <c r="O87" s="15"/>
      <c r="P87" s="15"/>
      <c r="Q87" s="15"/>
      <c r="R87" s="15"/>
      <c r="S87" s="15"/>
      <c r="T87" s="15"/>
      <c r="U87" s="15"/>
      <c r="V87" s="15"/>
    </row>
    <row r="88">
      <c r="A88" s="6" t="str">
        <f>HYPERLINK("http://www.theobroma.co.jp/","Théobroma")</f>
        <v>Théobroma</v>
      </c>
      <c r="B88" s="7" t="s">
        <v>425</v>
      </c>
      <c r="C88" s="2" t="s">
        <v>21</v>
      </c>
      <c r="D88" s="2">
        <v>3.0</v>
      </c>
      <c r="E88" s="2">
        <v>10.0</v>
      </c>
      <c r="F88" s="9" t="s">
        <v>435</v>
      </c>
      <c r="G88" s="10" t="s">
        <v>436</v>
      </c>
      <c r="H88" s="11" t="s">
        <v>437</v>
      </c>
      <c r="I88" s="13" t="s">
        <v>429</v>
      </c>
      <c r="J88" s="14">
        <v>43037.0</v>
      </c>
      <c r="K88" s="11" t="s">
        <v>30</v>
      </c>
      <c r="L88" s="9">
        <v>4.0</v>
      </c>
      <c r="M88" s="15"/>
      <c r="N88" s="15"/>
      <c r="O88" s="15"/>
      <c r="P88" s="15"/>
      <c r="Q88" s="15"/>
      <c r="R88" s="15"/>
      <c r="S88" s="15"/>
      <c r="T88" s="15"/>
      <c r="U88" s="15"/>
      <c r="V88" s="15"/>
    </row>
    <row r="89">
      <c r="A89" s="6" t="str">
        <f>HYPERLINK("https://isetan.mistore.jp/store/shinjuku/foreign_customer/index.html","Isetan Department Store")</f>
        <v>Isetan Department Store</v>
      </c>
      <c r="B89" s="7" t="s">
        <v>439</v>
      </c>
      <c r="C89" s="2" t="s">
        <v>440</v>
      </c>
      <c r="D89" s="2" t="s">
        <v>440</v>
      </c>
      <c r="E89" s="2">
        <v>1.0</v>
      </c>
      <c r="F89" s="9" t="s">
        <v>441</v>
      </c>
      <c r="G89" s="10" t="s">
        <v>442</v>
      </c>
      <c r="H89" s="11" t="s">
        <v>443</v>
      </c>
      <c r="I89" s="13" t="s">
        <v>444</v>
      </c>
      <c r="J89" s="14">
        <v>43057.0</v>
      </c>
      <c r="K89" s="11" t="s">
        <v>30</v>
      </c>
      <c r="L89" s="9"/>
      <c r="M89" s="15"/>
      <c r="N89" s="2"/>
      <c r="O89" s="2"/>
      <c r="P89" s="2"/>
      <c r="Q89" s="2"/>
      <c r="R89" s="2"/>
      <c r="S89" s="2"/>
      <c r="T89" s="2"/>
      <c r="U89" s="2"/>
      <c r="V89" s="2"/>
    </row>
    <row r="90">
      <c r="A90" s="6" t="str">
        <f>HYPERLINK("https://providencela.com/","Providence")</f>
        <v>Providence</v>
      </c>
      <c r="B90" s="7" t="s">
        <v>447</v>
      </c>
      <c r="C90" s="2" t="s">
        <v>440</v>
      </c>
      <c r="D90" s="2" t="s">
        <v>440</v>
      </c>
      <c r="E90" s="2">
        <v>2.0</v>
      </c>
      <c r="F90" s="9" t="s">
        <v>448</v>
      </c>
      <c r="G90" s="10" t="s">
        <v>449</v>
      </c>
      <c r="H90" s="11" t="s">
        <v>450</v>
      </c>
      <c r="I90" s="13" t="s">
        <v>451</v>
      </c>
      <c r="J90" s="14">
        <v>43099.0</v>
      </c>
      <c r="K90" s="11" t="s">
        <v>30</v>
      </c>
      <c r="L90" s="9"/>
      <c r="M90" s="15"/>
      <c r="N90" s="2"/>
      <c r="O90" s="2"/>
      <c r="P90" s="2"/>
      <c r="Q90" s="2"/>
      <c r="R90" s="2"/>
      <c r="S90" s="2"/>
      <c r="T90" s="2"/>
      <c r="U90" s="2"/>
      <c r="V90" s="2"/>
    </row>
    <row r="91">
      <c r="A91" s="6" t="str">
        <f>HYPERLINK("http://chowgirls.net/","Chowgirls Killer Catering")</f>
        <v>Chowgirls Killer Catering</v>
      </c>
      <c r="B91" s="7" t="s">
        <v>453</v>
      </c>
      <c r="C91" s="2" t="s">
        <v>33</v>
      </c>
      <c r="D91" s="2">
        <v>3.0</v>
      </c>
      <c r="E91" s="2">
        <v>11.0</v>
      </c>
      <c r="F91" s="9" t="s">
        <v>454</v>
      </c>
      <c r="G91" s="10" t="s">
        <v>455</v>
      </c>
      <c r="H91" s="11" t="s">
        <v>457</v>
      </c>
      <c r="I91" s="13" t="s">
        <v>458</v>
      </c>
      <c r="J91" s="14">
        <v>43132.0</v>
      </c>
      <c r="K91" s="11" t="s">
        <v>30</v>
      </c>
      <c r="L91" s="9">
        <v>2.0</v>
      </c>
      <c r="M91" s="15"/>
      <c r="N91" s="15"/>
      <c r="O91" s="15"/>
      <c r="P91" s="15"/>
      <c r="Q91" s="15"/>
      <c r="R91" s="15"/>
      <c r="S91" s="15"/>
      <c r="T91" s="15"/>
      <c r="U91" s="15"/>
      <c r="V91" s="15"/>
    </row>
    <row r="92">
      <c r="A92" s="6" t="str">
        <f>HYPERLINK("www.pajaritostp.com/","Pajarito")</f>
        <v>Pajarito</v>
      </c>
      <c r="B92" s="7" t="s">
        <v>453</v>
      </c>
      <c r="C92" s="2" t="s">
        <v>41</v>
      </c>
      <c r="D92" s="2">
        <v>3.0</v>
      </c>
      <c r="E92" s="2">
        <v>11.0</v>
      </c>
      <c r="F92" s="9" t="s">
        <v>460</v>
      </c>
      <c r="G92" s="10" t="s">
        <v>461</v>
      </c>
      <c r="H92" s="11" t="s">
        <v>462</v>
      </c>
      <c r="I92" s="13" t="s">
        <v>458</v>
      </c>
      <c r="J92" s="14">
        <v>43132.0</v>
      </c>
      <c r="K92" s="11" t="s">
        <v>30</v>
      </c>
      <c r="L92" s="9"/>
      <c r="M92" s="15"/>
      <c r="N92" s="2"/>
      <c r="O92" s="2"/>
      <c r="P92" s="2"/>
      <c r="Q92" s="2"/>
      <c r="R92" s="2"/>
      <c r="S92" s="2"/>
      <c r="T92" s="2"/>
      <c r="U92" s="2"/>
      <c r="V92" s="2"/>
    </row>
    <row r="93">
      <c r="A93" s="6" t="str">
        <f>HYPERLINK("https://www.revivalfriedchicken.com/","Revival")</f>
        <v>Revival</v>
      </c>
      <c r="B93" s="7" t="s">
        <v>453</v>
      </c>
      <c r="C93" s="2" t="s">
        <v>21</v>
      </c>
      <c r="D93" s="2">
        <v>3.0</v>
      </c>
      <c r="E93" s="2">
        <v>11.0</v>
      </c>
      <c r="F93" s="9" t="s">
        <v>463</v>
      </c>
      <c r="G93" s="10" t="s">
        <v>464</v>
      </c>
      <c r="H93" s="11" t="s">
        <v>465</v>
      </c>
      <c r="I93" s="13" t="s">
        <v>458</v>
      </c>
      <c r="J93" s="14">
        <v>43132.0</v>
      </c>
      <c r="K93" s="2" t="s">
        <v>37</v>
      </c>
      <c r="L93" s="9">
        <v>1.0</v>
      </c>
      <c r="M93" s="2" t="s">
        <v>466</v>
      </c>
      <c r="N93" s="2"/>
      <c r="O93" s="2"/>
      <c r="P93" s="2"/>
      <c r="Q93" s="2"/>
      <c r="R93" s="2"/>
      <c r="S93" s="2"/>
      <c r="T93" s="2"/>
      <c r="U93" s="2"/>
      <c r="V93" s="2"/>
    </row>
    <row r="94">
      <c r="A94" s="16" t="s">
        <v>467</v>
      </c>
      <c r="B94" s="7" t="s">
        <v>468</v>
      </c>
      <c r="C94" s="2" t="s">
        <v>33</v>
      </c>
      <c r="D94" s="2">
        <v>4.0</v>
      </c>
      <c r="E94" s="2">
        <v>1.0</v>
      </c>
      <c r="F94" s="9" t="s">
        <v>469</v>
      </c>
      <c r="G94" s="10" t="s">
        <v>471</v>
      </c>
      <c r="H94" s="24" t="s">
        <v>472</v>
      </c>
      <c r="I94" s="13" t="s">
        <v>473</v>
      </c>
      <c r="J94" s="14">
        <v>43177.0</v>
      </c>
      <c r="K94" s="11" t="s">
        <v>30</v>
      </c>
      <c r="L94" s="9"/>
      <c r="M94" s="15"/>
      <c r="N94" s="15"/>
      <c r="O94" s="15"/>
      <c r="P94" s="15"/>
      <c r="Q94" s="15"/>
      <c r="R94" s="15"/>
      <c r="S94" s="15"/>
      <c r="T94" s="15"/>
      <c r="U94" s="15"/>
      <c r="V94" s="15"/>
    </row>
    <row r="95">
      <c r="A95" s="6" t="str">
        <f>HYPERLINK("http://www.cheekysps.com/new/cheekys-home.html","Cheeky's")</f>
        <v>Cheeky's</v>
      </c>
      <c r="B95" s="7" t="s">
        <v>468</v>
      </c>
      <c r="C95" s="2" t="s">
        <v>41</v>
      </c>
      <c r="D95" s="2">
        <v>4.0</v>
      </c>
      <c r="E95" s="2">
        <v>1.0</v>
      </c>
      <c r="F95" s="9" t="s">
        <v>476</v>
      </c>
      <c r="G95" s="10" t="s">
        <v>477</v>
      </c>
      <c r="H95" s="11" t="s">
        <v>478</v>
      </c>
      <c r="I95" s="13" t="s">
        <v>473</v>
      </c>
      <c r="J95" s="14">
        <v>43177.0</v>
      </c>
      <c r="K95" s="11" t="s">
        <v>30</v>
      </c>
      <c r="L95" s="9">
        <v>2.0</v>
      </c>
      <c r="M95" s="2" t="s">
        <v>479</v>
      </c>
      <c r="N95" s="15"/>
      <c r="O95" s="15"/>
      <c r="P95" s="15"/>
      <c r="Q95" s="15"/>
      <c r="R95" s="15"/>
      <c r="S95" s="15"/>
      <c r="T95" s="15"/>
      <c r="U95" s="15"/>
      <c r="V95" s="15"/>
    </row>
    <row r="96">
      <c r="A96" s="6" t="str">
        <f>HYPERLINK("http://www.manuela-la.com/","Manuela")</f>
        <v>Manuela</v>
      </c>
      <c r="B96" s="7" t="s">
        <v>468</v>
      </c>
      <c r="C96" s="2" t="s">
        <v>21</v>
      </c>
      <c r="D96" s="2">
        <v>4.0</v>
      </c>
      <c r="E96" s="2">
        <v>1.0</v>
      </c>
      <c r="F96" s="9" t="s">
        <v>480</v>
      </c>
      <c r="G96" s="10" t="s">
        <v>481</v>
      </c>
      <c r="H96" s="11" t="s">
        <v>482</v>
      </c>
      <c r="I96" s="13" t="s">
        <v>473</v>
      </c>
      <c r="J96" s="14">
        <v>43177.0</v>
      </c>
      <c r="K96" s="11" t="s">
        <v>30</v>
      </c>
      <c r="L96" s="9">
        <v>1.0</v>
      </c>
      <c r="M96" s="15"/>
      <c r="N96" s="2"/>
      <c r="O96" s="2"/>
      <c r="P96" s="2"/>
      <c r="Q96" s="2"/>
      <c r="R96" s="2"/>
      <c r="S96" s="2"/>
      <c r="T96" s="2"/>
      <c r="U96" s="2"/>
      <c r="V96" s="2"/>
    </row>
    <row r="97">
      <c r="A97" s="2" t="s">
        <v>483</v>
      </c>
      <c r="B97" s="7" t="s">
        <v>484</v>
      </c>
      <c r="C97" s="2" t="s">
        <v>21</v>
      </c>
      <c r="D97" s="2">
        <v>4.0</v>
      </c>
      <c r="E97" s="2">
        <v>2.0</v>
      </c>
      <c r="F97" s="9" t="s">
        <v>485</v>
      </c>
      <c r="G97" s="10"/>
      <c r="H97" s="2" t="s">
        <v>486</v>
      </c>
      <c r="I97" s="13" t="s">
        <v>488</v>
      </c>
      <c r="J97" s="14">
        <v>43184.0</v>
      </c>
      <c r="K97" s="11" t="s">
        <v>30</v>
      </c>
      <c r="L97" s="9">
        <v>1.0</v>
      </c>
      <c r="M97" s="15"/>
      <c r="N97" s="15"/>
      <c r="O97" s="15"/>
      <c r="P97" s="15"/>
      <c r="Q97" s="15"/>
      <c r="R97" s="15"/>
      <c r="S97" s="15"/>
      <c r="T97" s="15"/>
      <c r="U97" s="15"/>
      <c r="V97" s="15"/>
    </row>
    <row r="98">
      <c r="A98" s="6" t="str">
        <f>HYPERLINK("https://www.marriott.com/hotels/hotel-information/restaurant/nycsw-the-westin-new-york-at-times-square/","The Westin")</f>
        <v>The Westin</v>
      </c>
      <c r="B98" s="7" t="s">
        <v>484</v>
      </c>
      <c r="C98" s="2" t="s">
        <v>33</v>
      </c>
      <c r="D98" s="2">
        <v>4.0</v>
      </c>
      <c r="E98" s="2">
        <v>2.0</v>
      </c>
      <c r="F98" s="9" t="s">
        <v>491</v>
      </c>
      <c r="G98" s="10" t="s">
        <v>492</v>
      </c>
      <c r="H98" s="11" t="s">
        <v>493</v>
      </c>
      <c r="I98" s="13" t="s">
        <v>488</v>
      </c>
      <c r="J98" s="14">
        <v>43184.0</v>
      </c>
      <c r="K98" s="11" t="s">
        <v>30</v>
      </c>
      <c r="L98" s="9"/>
      <c r="M98" s="15"/>
      <c r="N98" s="15"/>
      <c r="O98" s="15"/>
      <c r="P98" s="15"/>
      <c r="Q98" s="15"/>
      <c r="R98" s="15"/>
      <c r="S98" s="15"/>
      <c r="T98" s="15"/>
      <c r="U98" s="15"/>
      <c r="V98" s="15"/>
    </row>
    <row r="99">
      <c r="A99" s="6" t="str">
        <f>HYPERLINK("https://www.utopiabagelsofnewyork.com/","Utopia Bagels")</f>
        <v>Utopia Bagels</v>
      </c>
      <c r="B99" s="7" t="s">
        <v>484</v>
      </c>
      <c r="C99" s="2" t="s">
        <v>41</v>
      </c>
      <c r="D99" s="2">
        <v>4.0</v>
      </c>
      <c r="E99" s="2">
        <v>2.0</v>
      </c>
      <c r="F99" s="9" t="s">
        <v>495</v>
      </c>
      <c r="G99" s="10" t="s">
        <v>496</v>
      </c>
      <c r="H99" s="11" t="s">
        <v>497</v>
      </c>
      <c r="I99" s="13" t="s">
        <v>488</v>
      </c>
      <c r="J99" s="14">
        <v>43184.0</v>
      </c>
      <c r="K99" s="11" t="s">
        <v>30</v>
      </c>
      <c r="L99" s="9">
        <v>2.0</v>
      </c>
      <c r="M99" s="15"/>
      <c r="N99" s="15"/>
      <c r="O99" s="15"/>
      <c r="P99" s="15"/>
      <c r="Q99" s="15"/>
      <c r="R99" s="15"/>
      <c r="S99" s="15"/>
      <c r="T99" s="15"/>
      <c r="U99" s="15"/>
      <c r="V99" s="15"/>
    </row>
    <row r="100">
      <c r="A100" s="6" t="str">
        <f>HYPERLINK("http://www.abchome.com/dine/abcv/","abcV")</f>
        <v>abcV</v>
      </c>
      <c r="B100" s="7" t="s">
        <v>499</v>
      </c>
      <c r="C100" s="2" t="s">
        <v>33</v>
      </c>
      <c r="D100" s="2">
        <v>4.0</v>
      </c>
      <c r="E100" s="2">
        <v>3.0</v>
      </c>
      <c r="F100" s="9" t="s">
        <v>500</v>
      </c>
      <c r="G100" s="10" t="s">
        <v>501</v>
      </c>
      <c r="H100" s="11" t="s">
        <v>502</v>
      </c>
      <c r="I100" s="13" t="s">
        <v>503</v>
      </c>
      <c r="J100" s="14">
        <v>43191.0</v>
      </c>
      <c r="K100" s="11" t="s">
        <v>30</v>
      </c>
      <c r="L100" s="9">
        <v>2.0</v>
      </c>
      <c r="M100" s="2" t="s">
        <v>505</v>
      </c>
      <c r="N100" s="2"/>
      <c r="O100" s="2"/>
      <c r="P100" s="2"/>
      <c r="Q100" s="2"/>
      <c r="R100" s="2"/>
      <c r="S100" s="2"/>
      <c r="T100" s="2"/>
      <c r="U100" s="2"/>
      <c r="V100" s="2"/>
    </row>
    <row r="101">
      <c r="A101" s="6" t="str">
        <f>HYPERLINK("https://www.avantgardennyc.com/","Avant Garden")</f>
        <v>Avant Garden</v>
      </c>
      <c r="B101" s="7" t="s">
        <v>499</v>
      </c>
      <c r="C101" s="2" t="s">
        <v>21</v>
      </c>
      <c r="D101" s="2">
        <v>4.0</v>
      </c>
      <c r="E101" s="2">
        <v>3.0</v>
      </c>
      <c r="F101" s="9" t="s">
        <v>508</v>
      </c>
      <c r="G101" s="10" t="s">
        <v>509</v>
      </c>
      <c r="H101" s="11" t="s">
        <v>510</v>
      </c>
      <c r="I101" s="13" t="s">
        <v>503</v>
      </c>
      <c r="J101" s="14">
        <v>43191.0</v>
      </c>
      <c r="K101" s="11" t="s">
        <v>30</v>
      </c>
      <c r="L101" s="9"/>
      <c r="M101" s="2" t="s">
        <v>505</v>
      </c>
      <c r="N101" s="15"/>
      <c r="O101" s="15"/>
      <c r="P101" s="15"/>
      <c r="Q101" s="15"/>
      <c r="R101" s="15"/>
      <c r="S101" s="15"/>
      <c r="T101" s="15"/>
      <c r="U101" s="15"/>
      <c r="V101" s="15"/>
    </row>
    <row r="102">
      <c r="A102" s="6" t="str">
        <f>HYPERLINK("https://www.seasonedvegan.com/","Seasoned Vegan")</f>
        <v>Seasoned Vegan</v>
      </c>
      <c r="B102" s="7" t="s">
        <v>499</v>
      </c>
      <c r="C102" s="2" t="s">
        <v>41</v>
      </c>
      <c r="D102" s="2">
        <v>4.0</v>
      </c>
      <c r="E102" s="2">
        <v>3.0</v>
      </c>
      <c r="F102" s="9" t="s">
        <v>512</v>
      </c>
      <c r="G102" s="10" t="s">
        <v>513</v>
      </c>
      <c r="H102" s="11" t="s">
        <v>514</v>
      </c>
      <c r="I102" s="13" t="s">
        <v>503</v>
      </c>
      <c r="J102" s="14">
        <v>43191.0</v>
      </c>
      <c r="K102" s="11" t="s">
        <v>30</v>
      </c>
      <c r="L102" s="9">
        <v>1.0</v>
      </c>
      <c r="M102" s="15"/>
      <c r="N102" s="15"/>
      <c r="O102" s="15"/>
      <c r="P102" s="15"/>
      <c r="Q102" s="15"/>
      <c r="R102" s="15"/>
      <c r="S102" s="15"/>
      <c r="T102" s="15"/>
      <c r="U102" s="15"/>
      <c r="V102" s="15"/>
    </row>
    <row r="103">
      <c r="A103" s="6" t="str">
        <f>HYPERLINK("https://www.ahiassassins.com/","Ahi Assassins")</f>
        <v>Ahi Assassins</v>
      </c>
      <c r="B103" s="7" t="s">
        <v>515</v>
      </c>
      <c r="C103" s="2" t="s">
        <v>41</v>
      </c>
      <c r="D103" s="2">
        <v>4.0</v>
      </c>
      <c r="E103" s="2">
        <v>4.0</v>
      </c>
      <c r="F103" s="2" t="s">
        <v>516</v>
      </c>
      <c r="G103" s="10" t="s">
        <v>517</v>
      </c>
      <c r="H103" s="11" t="s">
        <v>518</v>
      </c>
      <c r="I103" s="13" t="s">
        <v>519</v>
      </c>
      <c r="J103" s="14">
        <v>43198.0</v>
      </c>
      <c r="K103" s="11" t="s">
        <v>30</v>
      </c>
      <c r="L103" s="9">
        <v>1.0</v>
      </c>
      <c r="M103" s="15"/>
      <c r="N103" s="15"/>
      <c r="O103" s="15"/>
      <c r="P103" s="15"/>
      <c r="Q103" s="15"/>
      <c r="R103" s="15"/>
      <c r="S103" s="15"/>
      <c r="T103" s="15"/>
      <c r="U103" s="15"/>
      <c r="V103" s="15"/>
    </row>
    <row r="104">
      <c r="A104" s="6" t="str">
        <f>HYPERLINK("https://www.chefmavro.com/","Chef Mavro")</f>
        <v>Chef Mavro</v>
      </c>
      <c r="B104" s="7" t="s">
        <v>515</v>
      </c>
      <c r="C104" s="2" t="s">
        <v>33</v>
      </c>
      <c r="D104" s="2">
        <v>4.0</v>
      </c>
      <c r="E104" s="2">
        <v>4.0</v>
      </c>
      <c r="F104" s="9" t="s">
        <v>523</v>
      </c>
      <c r="G104" s="10" t="s">
        <v>524</v>
      </c>
      <c r="H104" s="11" t="s">
        <v>525</v>
      </c>
      <c r="I104" s="13" t="s">
        <v>519</v>
      </c>
      <c r="J104" s="14">
        <v>43198.0</v>
      </c>
      <c r="K104" s="11" t="s">
        <v>30</v>
      </c>
      <c r="L104" s="9">
        <v>1.0</v>
      </c>
      <c r="M104" s="15"/>
      <c r="N104" s="2"/>
      <c r="O104" s="2"/>
      <c r="P104" s="2"/>
      <c r="Q104" s="2"/>
      <c r="R104" s="2"/>
      <c r="S104" s="2"/>
      <c r="T104" s="2"/>
      <c r="U104" s="2"/>
      <c r="V104" s="2"/>
    </row>
    <row r="105">
      <c r="A105" s="6" t="str">
        <f>HYPERLINK("http://mwrestaurant.com/","MW Restaurant")</f>
        <v>MW Restaurant</v>
      </c>
      <c r="B105" s="7" t="s">
        <v>515</v>
      </c>
      <c r="C105" s="2" t="s">
        <v>21</v>
      </c>
      <c r="D105" s="2">
        <v>4.0</v>
      </c>
      <c r="E105" s="2">
        <v>4.0</v>
      </c>
      <c r="F105" s="2" t="s">
        <v>526</v>
      </c>
      <c r="G105" s="10" t="s">
        <v>527</v>
      </c>
      <c r="H105" s="11" t="s">
        <v>528</v>
      </c>
      <c r="I105" s="13" t="s">
        <v>519</v>
      </c>
      <c r="J105" s="14">
        <v>43198.0</v>
      </c>
      <c r="K105" s="11" t="s">
        <v>30</v>
      </c>
      <c r="L105" s="9">
        <v>1.0</v>
      </c>
      <c r="M105" s="15"/>
      <c r="N105" s="15"/>
      <c r="O105" s="15"/>
      <c r="P105" s="15"/>
      <c r="Q105" s="15"/>
      <c r="R105" s="15"/>
      <c r="S105" s="15"/>
      <c r="T105" s="15"/>
      <c r="U105" s="15"/>
      <c r="V105" s="15"/>
    </row>
    <row r="106">
      <c r="A106" s="6" t="str">
        <f>HYPERLINK("http://www.underbellyhospitality.com/","CLOSED Underbelly")</f>
        <v>CLOSED Underbelly</v>
      </c>
      <c r="B106" s="7" t="s">
        <v>530</v>
      </c>
      <c r="C106" s="2" t="s">
        <v>21</v>
      </c>
      <c r="D106" s="2">
        <v>4.0</v>
      </c>
      <c r="E106" s="2">
        <v>5.0</v>
      </c>
      <c r="F106" s="9" t="s">
        <v>531</v>
      </c>
      <c r="G106" s="10" t="s">
        <v>532</v>
      </c>
      <c r="H106" s="11" t="s">
        <v>533</v>
      </c>
      <c r="I106" s="13" t="s">
        <v>534</v>
      </c>
      <c r="J106" s="14">
        <v>43205.0</v>
      </c>
      <c r="K106" s="11" t="s">
        <v>30</v>
      </c>
      <c r="L106" s="9">
        <v>2.0</v>
      </c>
      <c r="M106" s="15"/>
      <c r="N106" s="2"/>
      <c r="O106" s="2"/>
      <c r="P106" s="2"/>
      <c r="Q106" s="2"/>
      <c r="R106" s="2"/>
      <c r="S106" s="2"/>
      <c r="T106" s="2"/>
      <c r="U106" s="2"/>
      <c r="V106" s="2"/>
    </row>
    <row r="107">
      <c r="A107" s="6" t="str">
        <f>HYPERLINK("http://pienburger.com/","Pie 'n Burger")</f>
        <v>Pie 'n Burger</v>
      </c>
      <c r="B107" s="7" t="s">
        <v>530</v>
      </c>
      <c r="C107" s="2" t="s">
        <v>41</v>
      </c>
      <c r="D107" s="2">
        <v>4.0</v>
      </c>
      <c r="E107" s="2">
        <v>5.0</v>
      </c>
      <c r="F107" s="9" t="s">
        <v>539</v>
      </c>
      <c r="G107" s="10" t="s">
        <v>540</v>
      </c>
      <c r="H107" s="11" t="s">
        <v>541</v>
      </c>
      <c r="I107" s="13" t="s">
        <v>534</v>
      </c>
      <c r="J107" s="14">
        <v>43205.0</v>
      </c>
      <c r="K107" s="11" t="s">
        <v>30</v>
      </c>
      <c r="L107" s="9">
        <v>1.0</v>
      </c>
      <c r="M107" s="15"/>
      <c r="N107" s="2"/>
      <c r="O107" s="2"/>
      <c r="P107" s="2"/>
      <c r="Q107" s="2"/>
      <c r="R107" s="2"/>
      <c r="S107" s="2"/>
      <c r="T107" s="2"/>
      <c r="U107" s="2"/>
      <c r="V107" s="2"/>
    </row>
    <row r="108">
      <c r="A108" s="6" t="str">
        <f>HYPERLINK("https://3brothersbakery.com/","Three Brothers Bakery")</f>
        <v>Three Brothers Bakery</v>
      </c>
      <c r="B108" s="7" t="s">
        <v>530</v>
      </c>
      <c r="C108" s="2" t="s">
        <v>33</v>
      </c>
      <c r="D108" s="2">
        <v>4.0</v>
      </c>
      <c r="E108" s="2">
        <v>5.0</v>
      </c>
      <c r="F108" s="9" t="s">
        <v>543</v>
      </c>
      <c r="G108" s="10" t="s">
        <v>544</v>
      </c>
      <c r="H108" s="11" t="s">
        <v>545</v>
      </c>
      <c r="I108" s="13" t="s">
        <v>534</v>
      </c>
      <c r="J108" s="14">
        <v>43205.0</v>
      </c>
      <c r="K108" s="2" t="s">
        <v>37</v>
      </c>
      <c r="L108" s="9"/>
      <c r="M108" s="2" t="s">
        <v>546</v>
      </c>
      <c r="N108" s="15"/>
      <c r="O108" s="15"/>
      <c r="P108" s="15"/>
      <c r="Q108" s="15"/>
      <c r="R108" s="15"/>
      <c r="S108" s="15"/>
      <c r="T108" s="15"/>
      <c r="U108" s="15"/>
      <c r="V108" s="15"/>
    </row>
    <row r="109">
      <c r="A109" s="6" t="str">
        <f>HYPERLINK("http://www.districtonelv.com/","District One Kitchen &amp; Bar")</f>
        <v>District One Kitchen &amp; Bar</v>
      </c>
      <c r="B109" s="7" t="s">
        <v>547</v>
      </c>
      <c r="C109" s="2" t="s">
        <v>33</v>
      </c>
      <c r="D109" s="2">
        <v>4.0</v>
      </c>
      <c r="E109" s="2">
        <v>6.0</v>
      </c>
      <c r="F109" s="9" t="s">
        <v>548</v>
      </c>
      <c r="G109" s="10" t="s">
        <v>549</v>
      </c>
      <c r="H109" s="11" t="s">
        <v>550</v>
      </c>
      <c r="I109" s="13" t="s">
        <v>551</v>
      </c>
      <c r="J109" s="14">
        <v>43212.0</v>
      </c>
      <c r="K109" s="11" t="s">
        <v>30</v>
      </c>
      <c r="L109" s="9"/>
      <c r="M109" s="15"/>
      <c r="N109" s="2"/>
      <c r="O109" s="2"/>
      <c r="P109" s="2"/>
      <c r="Q109" s="2"/>
      <c r="R109" s="2"/>
      <c r="S109" s="2"/>
      <c r="T109" s="2"/>
      <c r="U109" s="2"/>
      <c r="V109" s="2"/>
    </row>
    <row r="110">
      <c r="A110" s="6" t="str">
        <f>HYPERLINK("http://www.phobinh.com/by-night","Pho Binh By Night")</f>
        <v>Pho Binh By Night</v>
      </c>
      <c r="B110" s="7" t="s">
        <v>547</v>
      </c>
      <c r="C110" s="2" t="s">
        <v>41</v>
      </c>
      <c r="D110" s="2">
        <v>4.0</v>
      </c>
      <c r="E110" s="2">
        <v>6.0</v>
      </c>
      <c r="F110" s="9" t="s">
        <v>553</v>
      </c>
      <c r="G110" s="10" t="s">
        <v>554</v>
      </c>
      <c r="H110" s="11" t="s">
        <v>555</v>
      </c>
      <c r="I110" s="13" t="s">
        <v>551</v>
      </c>
      <c r="J110" s="14">
        <v>43212.0</v>
      </c>
      <c r="K110" s="11" t="s">
        <v>30</v>
      </c>
      <c r="L110" s="9">
        <v>1.0</v>
      </c>
      <c r="M110" s="15"/>
      <c r="N110" s="2"/>
      <c r="O110" s="2"/>
      <c r="P110" s="2"/>
      <c r="Q110" s="2"/>
      <c r="R110" s="2"/>
      <c r="S110" s="2"/>
      <c r="T110" s="2"/>
      <c r="U110" s="2"/>
      <c r="V110" s="2"/>
    </row>
    <row r="111">
      <c r="A111" s="6" t="str">
        <f>HYPERLINK("https://thepigandthelady.com/","The Pig and the Lady")</f>
        <v>The Pig and the Lady</v>
      </c>
      <c r="B111" s="7" t="s">
        <v>547</v>
      </c>
      <c r="C111" s="2" t="s">
        <v>21</v>
      </c>
      <c r="D111" s="2">
        <v>4.0</v>
      </c>
      <c r="E111" s="2">
        <v>6.0</v>
      </c>
      <c r="F111" s="2" t="s">
        <v>557</v>
      </c>
      <c r="G111" s="10" t="s">
        <v>558</v>
      </c>
      <c r="H111" s="11" t="s">
        <v>559</v>
      </c>
      <c r="I111" s="13" t="s">
        <v>551</v>
      </c>
      <c r="J111" s="14">
        <v>43212.0</v>
      </c>
      <c r="K111" s="11" t="s">
        <v>30</v>
      </c>
      <c r="L111" s="9">
        <v>2.0</v>
      </c>
      <c r="M111" s="15"/>
      <c r="N111" s="2"/>
      <c r="O111" s="2"/>
      <c r="P111" s="2"/>
      <c r="Q111" s="2"/>
      <c r="R111" s="2"/>
      <c r="S111" s="2"/>
      <c r="T111" s="2"/>
      <c r="U111" s="2"/>
      <c r="V111" s="2"/>
    </row>
    <row r="112">
      <c r="A112" s="6" t="str">
        <f>HYPERLINK("https://www.eatricebar.com/","CLOSED RiceBar")</f>
        <v>CLOSED RiceBar</v>
      </c>
      <c r="B112" s="7" t="s">
        <v>560</v>
      </c>
      <c r="C112" s="2" t="s">
        <v>41</v>
      </c>
      <c r="D112" s="2">
        <v>4.0</v>
      </c>
      <c r="E112" s="2">
        <v>7.0</v>
      </c>
      <c r="F112" s="9" t="s">
        <v>561</v>
      </c>
      <c r="G112" s="10" t="s">
        <v>562</v>
      </c>
      <c r="H112" s="11" t="s">
        <v>564</v>
      </c>
      <c r="I112" s="13" t="s">
        <v>565</v>
      </c>
      <c r="J112" s="14">
        <v>43219.0</v>
      </c>
      <c r="K112" s="11" t="s">
        <v>30</v>
      </c>
      <c r="L112" s="9">
        <v>1.0</v>
      </c>
      <c r="M112" s="15"/>
      <c r="N112" s="2"/>
      <c r="O112" s="2"/>
      <c r="P112" s="2"/>
      <c r="Q112" s="2"/>
      <c r="R112" s="2"/>
      <c r="S112" s="2"/>
      <c r="T112" s="2"/>
      <c r="U112" s="2"/>
      <c r="V112" s="2"/>
    </row>
    <row r="113">
      <c r="A113" s="6" t="str">
        <f>HYPERLINK("http://www.jeepneynyc.com/","Jeepney")</f>
        <v>Jeepney</v>
      </c>
      <c r="B113" s="7" t="s">
        <v>560</v>
      </c>
      <c r="C113" s="2" t="s">
        <v>33</v>
      </c>
      <c r="D113" s="2">
        <v>4.0</v>
      </c>
      <c r="E113" s="2">
        <v>7.0</v>
      </c>
      <c r="F113" s="9" t="s">
        <v>566</v>
      </c>
      <c r="G113" s="10" t="s">
        <v>567</v>
      </c>
      <c r="H113" s="11" t="s">
        <v>568</v>
      </c>
      <c r="I113" s="13" t="s">
        <v>565</v>
      </c>
      <c r="J113" s="14">
        <v>43219.0</v>
      </c>
      <c r="K113" s="11" t="s">
        <v>30</v>
      </c>
      <c r="L113" s="9">
        <v>1.0</v>
      </c>
      <c r="M113" s="2" t="s">
        <v>570</v>
      </c>
      <c r="N113" s="15"/>
      <c r="O113" s="15"/>
      <c r="P113" s="15"/>
      <c r="Q113" s="15"/>
      <c r="R113" s="15"/>
      <c r="S113" s="15"/>
      <c r="T113" s="15"/>
      <c r="U113" s="15"/>
      <c r="V113" s="15"/>
    </row>
    <row r="114">
      <c r="A114" s="6" t="str">
        <f>HYPERLINK("http://www.lasa-la.com/","Lasa")</f>
        <v>Lasa</v>
      </c>
      <c r="B114" s="7" t="s">
        <v>560</v>
      </c>
      <c r="C114" s="2" t="s">
        <v>21</v>
      </c>
      <c r="D114" s="2">
        <v>4.0</v>
      </c>
      <c r="E114" s="2">
        <v>7.0</v>
      </c>
      <c r="F114" s="9" t="s">
        <v>571</v>
      </c>
      <c r="G114" s="10" t="s">
        <v>572</v>
      </c>
      <c r="H114" s="11" t="s">
        <v>573</v>
      </c>
      <c r="I114" s="13" t="s">
        <v>565</v>
      </c>
      <c r="J114" s="14">
        <v>43219.0</v>
      </c>
      <c r="K114" s="11" t="s">
        <v>30</v>
      </c>
      <c r="L114" s="9">
        <v>1.0</v>
      </c>
      <c r="M114" s="15"/>
      <c r="N114" s="15"/>
      <c r="O114" s="15"/>
      <c r="P114" s="15"/>
      <c r="Q114" s="15"/>
      <c r="R114" s="15"/>
      <c r="S114" s="15"/>
      <c r="T114" s="15"/>
      <c r="U114" s="15"/>
      <c r="V114" s="15"/>
    </row>
    <row r="115">
      <c r="A115" s="6" t="str">
        <f>HYPERLINK("https://www.hereslookingatyoula.com/","CLOSED Here's Looking at You")</f>
        <v>CLOSED Here's Looking at You</v>
      </c>
      <c r="B115" s="7" t="s">
        <v>574</v>
      </c>
      <c r="C115" s="2" t="s">
        <v>21</v>
      </c>
      <c r="D115" s="2">
        <v>4.0</v>
      </c>
      <c r="E115" s="2">
        <v>8.0</v>
      </c>
      <c r="F115" s="2" t="s">
        <v>575</v>
      </c>
      <c r="G115" s="10" t="s">
        <v>576</v>
      </c>
      <c r="H115" s="11" t="s">
        <v>577</v>
      </c>
      <c r="I115" s="13" t="s">
        <v>578</v>
      </c>
      <c r="J115" s="14">
        <v>43226.0</v>
      </c>
      <c r="K115" s="11" t="s">
        <v>30</v>
      </c>
      <c r="L115" s="9">
        <v>1.0</v>
      </c>
      <c r="M115" s="15"/>
      <c r="N115" s="15"/>
      <c r="O115" s="15"/>
      <c r="P115" s="15"/>
      <c r="Q115" s="15"/>
      <c r="R115" s="15"/>
      <c r="S115" s="15"/>
      <c r="T115" s="15"/>
      <c r="U115" s="15"/>
      <c r="V115" s="15"/>
    </row>
    <row r="116">
      <c r="A116" s="6" t="str">
        <f>HYPERLINK("https://www.petitcrenn.com/","Petit Crenn")</f>
        <v>Petit Crenn</v>
      </c>
      <c r="B116" s="7" t="s">
        <v>574</v>
      </c>
      <c r="C116" s="2" t="s">
        <v>33</v>
      </c>
      <c r="D116" s="2">
        <v>4.0</v>
      </c>
      <c r="E116" s="2">
        <v>8.0</v>
      </c>
      <c r="F116" s="9" t="s">
        <v>580</v>
      </c>
      <c r="G116" s="10" t="s">
        <v>581</v>
      </c>
      <c r="H116" s="11" t="s">
        <v>582</v>
      </c>
      <c r="I116" s="13" t="s">
        <v>578</v>
      </c>
      <c r="J116" s="14">
        <v>43226.0</v>
      </c>
      <c r="K116" s="11" t="s">
        <v>30</v>
      </c>
      <c r="L116" s="9">
        <v>1.0</v>
      </c>
      <c r="M116" s="15"/>
      <c r="N116" s="2"/>
      <c r="O116" s="2"/>
      <c r="P116" s="2"/>
      <c r="Q116" s="2"/>
      <c r="R116" s="2"/>
      <c r="S116" s="2"/>
      <c r="T116" s="2"/>
      <c r="U116" s="2"/>
      <c r="V116" s="2"/>
    </row>
    <row r="117">
      <c r="A117" s="6" t="str">
        <f>HYPERLINK("https://sqirlla.com/","Sqirl")</f>
        <v>Sqirl</v>
      </c>
      <c r="B117" s="7" t="s">
        <v>574</v>
      </c>
      <c r="C117" s="2" t="s">
        <v>41</v>
      </c>
      <c r="D117" s="2">
        <v>4.0</v>
      </c>
      <c r="E117" s="2">
        <v>8.0</v>
      </c>
      <c r="F117" s="9" t="s">
        <v>583</v>
      </c>
      <c r="G117" s="10" t="s">
        <v>584</v>
      </c>
      <c r="H117" s="11" t="s">
        <v>585</v>
      </c>
      <c r="I117" s="13" t="s">
        <v>578</v>
      </c>
      <c r="J117" s="14">
        <v>43226.0</v>
      </c>
      <c r="K117" s="11" t="s">
        <v>30</v>
      </c>
      <c r="L117" s="9">
        <v>1.0</v>
      </c>
      <c r="M117" s="15"/>
      <c r="N117" s="15"/>
      <c r="O117" s="15"/>
      <c r="P117" s="15"/>
      <c r="Q117" s="15"/>
      <c r="R117" s="15"/>
      <c r="S117" s="15"/>
      <c r="T117" s="15"/>
      <c r="U117" s="15"/>
      <c r="V117" s="15"/>
    </row>
    <row r="118">
      <c r="A118" s="6" t="str">
        <f>HYPERLINK("https://barzotto.com/","Barzotto")</f>
        <v>Barzotto</v>
      </c>
      <c r="B118" s="7" t="s">
        <v>587</v>
      </c>
      <c r="C118" s="2" t="s">
        <v>41</v>
      </c>
      <c r="D118" s="2">
        <v>4.0</v>
      </c>
      <c r="E118" s="2">
        <v>9.0</v>
      </c>
      <c r="F118" s="2" t="s">
        <v>588</v>
      </c>
      <c r="G118" s="10" t="s">
        <v>589</v>
      </c>
      <c r="H118" s="11" t="s">
        <v>590</v>
      </c>
      <c r="I118" s="13" t="s">
        <v>591</v>
      </c>
      <c r="J118" s="14">
        <v>43233.0</v>
      </c>
      <c r="K118" s="11" t="s">
        <v>30</v>
      </c>
      <c r="L118" s="9">
        <v>3.0</v>
      </c>
      <c r="M118" s="15"/>
      <c r="N118" s="2"/>
      <c r="O118" s="2"/>
      <c r="P118" s="2"/>
      <c r="Q118" s="2"/>
      <c r="R118" s="2"/>
      <c r="S118" s="2"/>
      <c r="T118" s="2"/>
      <c r="U118" s="2"/>
      <c r="V118" s="2"/>
    </row>
    <row r="119">
      <c r="A119" s="6" t="str">
        <f>HYPERLINK("http://www.centopastabar.com/","Cento Pasta Bar")</f>
        <v>Cento Pasta Bar</v>
      </c>
      <c r="B119" s="7" t="s">
        <v>587</v>
      </c>
      <c r="C119" s="2" t="s">
        <v>21</v>
      </c>
      <c r="D119" s="2">
        <v>4.0</v>
      </c>
      <c r="E119" s="2">
        <v>9.0</v>
      </c>
      <c r="F119" s="9" t="s">
        <v>593</v>
      </c>
      <c r="G119" s="10" t="s">
        <v>594</v>
      </c>
      <c r="H119" s="11" t="s">
        <v>595</v>
      </c>
      <c r="I119" s="13" t="s">
        <v>591</v>
      </c>
      <c r="J119" s="14">
        <v>43233.0</v>
      </c>
      <c r="K119" s="11" t="s">
        <v>30</v>
      </c>
      <c r="L119" s="9"/>
      <c r="M119" s="15"/>
      <c r="N119" s="15"/>
      <c r="O119" s="15"/>
      <c r="P119" s="15"/>
      <c r="Q119" s="15"/>
      <c r="R119" s="15"/>
      <c r="S119" s="15"/>
      <c r="T119" s="15"/>
      <c r="U119" s="15"/>
      <c r="V119" s="15"/>
    </row>
    <row r="120">
      <c r="A120" s="6" t="str">
        <f>HYPERLINK("https://republiquela.com/","Republique Restaurant")</f>
        <v>Republique Restaurant</v>
      </c>
      <c r="B120" s="7" t="s">
        <v>587</v>
      </c>
      <c r="C120" s="2" t="s">
        <v>33</v>
      </c>
      <c r="D120" s="2">
        <v>4.0</v>
      </c>
      <c r="E120" s="2">
        <v>9.0</v>
      </c>
      <c r="F120" s="9" t="s">
        <v>596</v>
      </c>
      <c r="G120" s="10" t="s">
        <v>597</v>
      </c>
      <c r="H120" s="11" t="s">
        <v>598</v>
      </c>
      <c r="I120" s="13" t="s">
        <v>591</v>
      </c>
      <c r="J120" s="14">
        <v>43233.0</v>
      </c>
      <c r="K120" s="11" t="s">
        <v>30</v>
      </c>
      <c r="L120" s="9"/>
      <c r="M120" s="2" t="s">
        <v>599</v>
      </c>
      <c r="N120" s="15"/>
      <c r="O120" s="15"/>
      <c r="P120" s="15"/>
      <c r="Q120" s="15"/>
      <c r="R120" s="15"/>
      <c r="S120" s="15"/>
      <c r="T120" s="15"/>
      <c r="U120" s="15"/>
      <c r="V120" s="15"/>
    </row>
    <row r="121">
      <c r="A121" s="6" t="str">
        <f>HYPERLINK("https://www.lov.com/","Lov")</f>
        <v>Lov</v>
      </c>
      <c r="B121" s="7" t="s">
        <v>600</v>
      </c>
      <c r="C121" s="2" t="s">
        <v>21</v>
      </c>
      <c r="D121" s="2">
        <v>4.0</v>
      </c>
      <c r="E121" s="2">
        <v>10.0</v>
      </c>
      <c r="F121" s="9" t="s">
        <v>601</v>
      </c>
      <c r="G121" s="10" t="s">
        <v>602</v>
      </c>
      <c r="H121" s="11" t="s">
        <v>603</v>
      </c>
      <c r="I121" s="13" t="s">
        <v>604</v>
      </c>
      <c r="J121" s="14">
        <v>43240.0</v>
      </c>
      <c r="K121" s="11" t="s">
        <v>30</v>
      </c>
      <c r="L121" s="9">
        <v>2.0</v>
      </c>
      <c r="M121" s="2" t="s">
        <v>606</v>
      </c>
      <c r="N121" s="2"/>
      <c r="O121" s="2"/>
      <c r="P121" s="2"/>
      <c r="Q121" s="2"/>
      <c r="R121" s="2"/>
      <c r="S121" s="2"/>
      <c r="T121" s="2"/>
      <c r="U121" s="2"/>
      <c r="V121" s="2"/>
    </row>
    <row r="122">
      <c r="A122" s="6" t="str">
        <f>HYPERLINK("http://www.poutineville.com/en/home.html","Poutineville")</f>
        <v>Poutineville</v>
      </c>
      <c r="B122" s="7" t="s">
        <v>600</v>
      </c>
      <c r="C122" s="2" t="s">
        <v>33</v>
      </c>
      <c r="D122" s="2">
        <v>4.0</v>
      </c>
      <c r="E122" s="2">
        <v>10.0</v>
      </c>
      <c r="F122" s="9" t="s">
        <v>607</v>
      </c>
      <c r="G122" s="10" t="s">
        <v>608</v>
      </c>
      <c r="H122" s="11" t="s">
        <v>609</v>
      </c>
      <c r="I122" s="13" t="s">
        <v>604</v>
      </c>
      <c r="J122" s="14">
        <v>43240.0</v>
      </c>
      <c r="K122" s="2" t="s">
        <v>37</v>
      </c>
      <c r="L122" s="9"/>
      <c r="M122" s="2" t="s">
        <v>606</v>
      </c>
      <c r="N122" s="2"/>
      <c r="O122" s="2"/>
      <c r="P122" s="2"/>
      <c r="Q122" s="2"/>
      <c r="R122" s="2"/>
      <c r="S122" s="2"/>
      <c r="T122" s="2"/>
      <c r="U122" s="2"/>
      <c r="V122" s="2"/>
    </row>
    <row r="123">
      <c r="A123" s="6" t="str">
        <f>HYPERLINK("https://eattopround.com/","Top Round Roast Beef")</f>
        <v>Top Round Roast Beef</v>
      </c>
      <c r="B123" s="7" t="s">
        <v>600</v>
      </c>
      <c r="C123" s="2" t="s">
        <v>41</v>
      </c>
      <c r="D123" s="2">
        <v>4.0</v>
      </c>
      <c r="E123" s="2">
        <v>10.0</v>
      </c>
      <c r="F123" s="9" t="s">
        <v>611</v>
      </c>
      <c r="G123" s="10" t="s">
        <v>612</v>
      </c>
      <c r="H123" s="11" t="s">
        <v>613</v>
      </c>
      <c r="I123" s="13" t="s">
        <v>604</v>
      </c>
      <c r="J123" s="14">
        <v>43240.0</v>
      </c>
      <c r="K123" s="11" t="s">
        <v>30</v>
      </c>
      <c r="L123" s="9">
        <v>1.0</v>
      </c>
      <c r="M123" s="15"/>
      <c r="N123" s="2"/>
      <c r="O123" s="2"/>
      <c r="P123" s="2"/>
      <c r="Q123" s="2"/>
      <c r="R123" s="2"/>
      <c r="S123" s="2"/>
      <c r="T123" s="2"/>
      <c r="U123" s="2"/>
      <c r="V123" s="2"/>
    </row>
    <row r="124">
      <c r="A124" s="6" t="str">
        <f>HYPERLINK("https://barclayprime.com/","Barclay Prime")</f>
        <v>Barclay Prime</v>
      </c>
      <c r="B124" s="7" t="s">
        <v>614</v>
      </c>
      <c r="C124" s="2" t="s">
        <v>33</v>
      </c>
      <c r="D124" s="2">
        <v>4.0</v>
      </c>
      <c r="E124" s="2">
        <v>11.0</v>
      </c>
      <c r="F124" s="9" t="s">
        <v>616</v>
      </c>
      <c r="G124" s="10" t="s">
        <v>617</v>
      </c>
      <c r="H124" s="11" t="s">
        <v>618</v>
      </c>
      <c r="I124" s="13" t="s">
        <v>619</v>
      </c>
      <c r="J124" s="14">
        <v>43247.0</v>
      </c>
      <c r="K124" s="11" t="s">
        <v>30</v>
      </c>
      <c r="L124" s="9">
        <v>1.0</v>
      </c>
      <c r="M124" s="15"/>
      <c r="N124" s="15"/>
      <c r="O124" s="15"/>
      <c r="P124" s="15"/>
      <c r="Q124" s="15"/>
      <c r="R124" s="15"/>
      <c r="S124" s="15"/>
      <c r="T124" s="15"/>
      <c r="U124" s="15"/>
      <c r="V124" s="15"/>
    </row>
    <row r="125">
      <c r="A125" s="6" t="str">
        <f>HYPERLINK("https://www.ginandpop.com/","CLOSED Gin &amp; Pop")</f>
        <v>CLOSED Gin &amp; Pop</v>
      </c>
      <c r="B125" s="7" t="s">
        <v>614</v>
      </c>
      <c r="C125" s="2" t="s">
        <v>21</v>
      </c>
      <c r="D125" s="2">
        <v>4.0</v>
      </c>
      <c r="E125" s="2">
        <v>11.0</v>
      </c>
      <c r="F125" s="9" t="s">
        <v>622</v>
      </c>
      <c r="G125" s="10" t="s">
        <v>623</v>
      </c>
      <c r="H125" s="11" t="s">
        <v>624</v>
      </c>
      <c r="I125" s="13" t="s">
        <v>619</v>
      </c>
      <c r="J125" s="14">
        <v>43247.0</v>
      </c>
      <c r="K125" s="11" t="s">
        <v>30</v>
      </c>
      <c r="L125" s="9">
        <v>2.0</v>
      </c>
      <c r="M125" s="15"/>
      <c r="N125" s="15"/>
      <c r="O125" s="15"/>
      <c r="P125" s="15"/>
      <c r="Q125" s="15"/>
      <c r="R125" s="15"/>
      <c r="S125" s="15"/>
      <c r="T125" s="15"/>
      <c r="U125" s="15"/>
      <c r="V125" s="15"/>
    </row>
    <row r="126">
      <c r="A126" s="6" t="str">
        <f>HYPERLINK("http://www.johnsroastpork.com/","John's Roast Pork")</f>
        <v>John's Roast Pork</v>
      </c>
      <c r="B126" s="7" t="s">
        <v>614</v>
      </c>
      <c r="C126" s="2" t="s">
        <v>41</v>
      </c>
      <c r="D126" s="2">
        <v>4.0</v>
      </c>
      <c r="E126" s="2">
        <v>11.0</v>
      </c>
      <c r="F126" s="9" t="s">
        <v>626</v>
      </c>
      <c r="G126" s="10" t="s">
        <v>627</v>
      </c>
      <c r="H126" s="11" t="s">
        <v>628</v>
      </c>
      <c r="I126" s="13" t="s">
        <v>619</v>
      </c>
      <c r="J126" s="14">
        <v>43247.0</v>
      </c>
      <c r="K126" s="11" t="s">
        <v>30</v>
      </c>
      <c r="L126" s="9"/>
      <c r="M126" s="15"/>
      <c r="N126" s="15"/>
      <c r="O126" s="15"/>
      <c r="P126" s="15"/>
      <c r="Q126" s="15"/>
      <c r="R126" s="15"/>
      <c r="S126" s="15"/>
      <c r="T126" s="15"/>
      <c r="U126" s="15"/>
      <c r="V126" s="15"/>
    </row>
    <row r="127">
      <c r="A127" s="6" t="str">
        <f>HYPERLINK("http://www.corner28flushing.com/","Corner 28")</f>
        <v>Corner 28</v>
      </c>
      <c r="B127" s="7" t="s">
        <v>629</v>
      </c>
      <c r="C127" s="2" t="s">
        <v>41</v>
      </c>
      <c r="D127" s="2">
        <v>4.0</v>
      </c>
      <c r="E127" s="2">
        <v>12.0</v>
      </c>
      <c r="F127" s="9" t="s">
        <v>631</v>
      </c>
      <c r="G127" s="10" t="s">
        <v>632</v>
      </c>
      <c r="H127" s="11" t="s">
        <v>633</v>
      </c>
      <c r="I127" s="13" t="s">
        <v>634</v>
      </c>
      <c r="J127" s="14">
        <v>43254.0</v>
      </c>
      <c r="K127" s="11" t="s">
        <v>30</v>
      </c>
      <c r="L127" s="9">
        <v>3.0</v>
      </c>
      <c r="M127" s="15"/>
      <c r="N127" s="15"/>
      <c r="O127" s="15"/>
      <c r="P127" s="15"/>
      <c r="Q127" s="15"/>
      <c r="R127" s="15"/>
      <c r="S127" s="15"/>
      <c r="T127" s="15"/>
      <c r="U127" s="15"/>
      <c r="V127" s="15"/>
    </row>
    <row r="128">
      <c r="A128" s="6" t="str">
        <f>HYPERLINK("https://www.decoynyc.com/","Decoy")</f>
        <v>Decoy</v>
      </c>
      <c r="B128" s="7" t="s">
        <v>629</v>
      </c>
      <c r="C128" s="2" t="s">
        <v>21</v>
      </c>
      <c r="D128" s="2">
        <v>4.0</v>
      </c>
      <c r="E128" s="2">
        <v>12.0</v>
      </c>
      <c r="F128" s="9" t="s">
        <v>636</v>
      </c>
      <c r="G128" s="10" t="s">
        <v>637</v>
      </c>
      <c r="H128" s="11" t="s">
        <v>638</v>
      </c>
      <c r="I128" s="13" t="s">
        <v>634</v>
      </c>
      <c r="J128" s="14">
        <v>43254.0</v>
      </c>
      <c r="K128" s="11" t="s">
        <v>30</v>
      </c>
      <c r="L128" s="9"/>
      <c r="M128" s="2" t="s">
        <v>639</v>
      </c>
      <c r="N128" s="15"/>
      <c r="O128" s="15"/>
      <c r="P128" s="15"/>
      <c r="Q128" s="15"/>
      <c r="R128" s="15"/>
      <c r="S128" s="15"/>
      <c r="T128" s="15"/>
      <c r="U128" s="15"/>
      <c r="V128" s="15"/>
    </row>
    <row r="129">
      <c r="A129" s="6" t="str">
        <f>HYPERLINK("http://www.hwayuannyc.com/","Hwa Yuan Szechuan")</f>
        <v>Hwa Yuan Szechuan</v>
      </c>
      <c r="B129" s="7" t="s">
        <v>629</v>
      </c>
      <c r="C129" s="2" t="s">
        <v>33</v>
      </c>
      <c r="D129" s="2">
        <v>4.0</v>
      </c>
      <c r="E129" s="2">
        <v>12.0</v>
      </c>
      <c r="F129" s="9" t="s">
        <v>640</v>
      </c>
      <c r="G129" s="10" t="s">
        <v>641</v>
      </c>
      <c r="H129" s="11" t="s">
        <v>642</v>
      </c>
      <c r="I129" s="13" t="s">
        <v>634</v>
      </c>
      <c r="J129" s="14">
        <v>43254.0</v>
      </c>
      <c r="K129" s="11" t="s">
        <v>30</v>
      </c>
      <c r="L129" s="9">
        <v>1.0</v>
      </c>
      <c r="M129" s="2" t="s">
        <v>643</v>
      </c>
      <c r="N129" s="15"/>
      <c r="O129" s="15"/>
      <c r="P129" s="15"/>
      <c r="Q129" s="15"/>
      <c r="R129" s="15"/>
      <c r="S129" s="15"/>
      <c r="T129" s="15"/>
      <c r="U129" s="15"/>
      <c r="V129" s="15"/>
    </row>
    <row r="130">
      <c r="A130" s="6" t="str">
        <f>HYPERLINK("https://thelittleonenyc.business.site/","Little One")</f>
        <v>Little One</v>
      </c>
      <c r="B130" s="7" t="s">
        <v>629</v>
      </c>
      <c r="C130" s="2" t="s">
        <v>645</v>
      </c>
      <c r="D130" s="2">
        <v>4.0</v>
      </c>
      <c r="E130" s="2">
        <v>12.0</v>
      </c>
      <c r="F130" s="9" t="s">
        <v>646</v>
      </c>
      <c r="G130" s="10" t="s">
        <v>647</v>
      </c>
      <c r="H130" s="11" t="s">
        <v>648</v>
      </c>
      <c r="I130" s="13" t="s">
        <v>634</v>
      </c>
      <c r="J130" s="14">
        <v>43254.0</v>
      </c>
      <c r="K130" s="11" t="s">
        <v>30</v>
      </c>
      <c r="L130" s="9"/>
      <c r="M130" s="15"/>
      <c r="N130" s="2"/>
      <c r="O130" s="2"/>
      <c r="P130" s="2"/>
      <c r="Q130" s="2"/>
      <c r="R130" s="2"/>
      <c r="S130" s="2"/>
      <c r="T130" s="2"/>
      <c r="U130" s="2"/>
      <c r="V130" s="2"/>
    </row>
    <row r="131">
      <c r="A131" s="6" t="str">
        <f>HYPERLINK("http://freedmansla.com/","Freedman's")</f>
        <v>Freedman's</v>
      </c>
      <c r="B131" s="7" t="s">
        <v>649</v>
      </c>
      <c r="C131" s="2" t="s">
        <v>21</v>
      </c>
      <c r="D131" s="2">
        <v>5.0</v>
      </c>
      <c r="E131" s="2">
        <v>1.0</v>
      </c>
      <c r="F131" s="9" t="s">
        <v>650</v>
      </c>
      <c r="G131" s="10" t="s">
        <v>651</v>
      </c>
      <c r="H131" s="11" t="s">
        <v>652</v>
      </c>
      <c r="I131" s="13" t="s">
        <v>653</v>
      </c>
      <c r="J131" s="14">
        <v>43352.0</v>
      </c>
      <c r="K131" s="11" t="s">
        <v>30</v>
      </c>
      <c r="L131" s="9">
        <v>2.0</v>
      </c>
      <c r="M131" s="2" t="s">
        <v>655</v>
      </c>
      <c r="N131" s="15"/>
      <c r="O131" s="15"/>
      <c r="P131" s="15"/>
      <c r="Q131" s="15"/>
      <c r="R131" s="15"/>
      <c r="S131" s="15"/>
      <c r="T131" s="15"/>
      <c r="U131" s="15"/>
      <c r="V131" s="15"/>
    </row>
    <row r="132">
      <c r="A132" s="6" t="str">
        <f>HYPERLINK("https://www.littlefattyla.com/","Little Fatty")</f>
        <v>Little Fatty</v>
      </c>
      <c r="B132" s="7" t="s">
        <v>649</v>
      </c>
      <c r="C132" s="2" t="s">
        <v>41</v>
      </c>
      <c r="D132" s="2">
        <v>5.0</v>
      </c>
      <c r="E132" s="2">
        <v>1.0</v>
      </c>
      <c r="F132" s="9" t="s">
        <v>657</v>
      </c>
      <c r="G132" s="10" t="s">
        <v>659</v>
      </c>
      <c r="H132" s="11" t="s">
        <v>660</v>
      </c>
      <c r="I132" s="13" t="s">
        <v>653</v>
      </c>
      <c r="J132" s="14">
        <v>43352.0</v>
      </c>
      <c r="K132" s="11" t="s">
        <v>30</v>
      </c>
      <c r="L132" s="9">
        <v>1.0</v>
      </c>
      <c r="M132" s="2" t="s">
        <v>661</v>
      </c>
      <c r="N132" s="15"/>
      <c r="O132" s="15"/>
      <c r="P132" s="15"/>
      <c r="Q132" s="15"/>
      <c r="R132" s="15"/>
      <c r="S132" s="15"/>
      <c r="T132" s="15"/>
      <c r="U132" s="15"/>
      <c r="V132" s="15"/>
    </row>
    <row r="133">
      <c r="A133" s="6" t="str">
        <f>HYPERLINK("http://fayda.com/","Fay Da Bakery")</f>
        <v>Fay Da Bakery</v>
      </c>
      <c r="B133" s="7" t="s">
        <v>662</v>
      </c>
      <c r="C133" s="2" t="s">
        <v>41</v>
      </c>
      <c r="D133" s="2">
        <v>5.0</v>
      </c>
      <c r="E133" s="2">
        <v>2.0</v>
      </c>
      <c r="F133" s="9" t="s">
        <v>663</v>
      </c>
      <c r="G133" s="10" t="s">
        <v>664</v>
      </c>
      <c r="H133" s="11" t="s">
        <v>665</v>
      </c>
      <c r="I133" s="13" t="s">
        <v>666</v>
      </c>
      <c r="J133" s="14">
        <v>43359.0</v>
      </c>
      <c r="K133" s="2" t="s">
        <v>37</v>
      </c>
      <c r="L133" s="9">
        <v>1.0</v>
      </c>
      <c r="M133" s="15"/>
      <c r="N133" s="2"/>
      <c r="O133" s="2"/>
      <c r="P133" s="2"/>
      <c r="Q133" s="2"/>
      <c r="R133" s="2"/>
      <c r="S133" s="2"/>
      <c r="T133" s="2"/>
      <c r="U133" s="2"/>
      <c r="V133" s="2"/>
    </row>
    <row r="134">
      <c r="A134" s="6" t="str">
        <f>HYPERLINK("http://junoonnyc.com/","Junoon")</f>
        <v>Junoon</v>
      </c>
      <c r="B134" s="7" t="s">
        <v>662</v>
      </c>
      <c r="C134" s="2" t="s">
        <v>33</v>
      </c>
      <c r="D134" s="2">
        <v>5.0</v>
      </c>
      <c r="E134" s="2">
        <v>2.0</v>
      </c>
      <c r="F134" s="9" t="s">
        <v>671</v>
      </c>
      <c r="G134" s="10" t="s">
        <v>672</v>
      </c>
      <c r="H134" s="11" t="s">
        <v>673</v>
      </c>
      <c r="I134" s="13" t="s">
        <v>666</v>
      </c>
      <c r="J134" s="14">
        <v>43359.0</v>
      </c>
      <c r="K134" s="11" t="s">
        <v>30</v>
      </c>
      <c r="L134" s="9">
        <v>1.0</v>
      </c>
      <c r="M134" s="15"/>
      <c r="N134" s="15"/>
      <c r="O134" s="15"/>
      <c r="P134" s="15"/>
      <c r="Q134" s="15"/>
      <c r="R134" s="15"/>
      <c r="S134" s="15"/>
      <c r="T134" s="15"/>
      <c r="U134" s="15"/>
      <c r="V134" s="15"/>
    </row>
    <row r="135">
      <c r="A135" s="6" t="str">
        <f>HYPERLINK("http://lautnyc.com/","Laut")</f>
        <v>Laut</v>
      </c>
      <c r="B135" s="7" t="s">
        <v>662</v>
      </c>
      <c r="C135" s="2" t="s">
        <v>21</v>
      </c>
      <c r="D135" s="2">
        <v>5.0</v>
      </c>
      <c r="E135" s="2">
        <v>2.0</v>
      </c>
      <c r="F135" s="2" t="s">
        <v>674</v>
      </c>
      <c r="G135" s="10" t="s">
        <v>675</v>
      </c>
      <c r="H135" s="11" t="s">
        <v>676</v>
      </c>
      <c r="I135" s="13" t="s">
        <v>666</v>
      </c>
      <c r="J135" s="14">
        <v>43359.0</v>
      </c>
      <c r="K135" s="11" t="s">
        <v>30</v>
      </c>
      <c r="L135" s="9">
        <v>2.0</v>
      </c>
      <c r="M135" s="15"/>
      <c r="N135" s="2"/>
      <c r="O135" s="2"/>
      <c r="P135" s="2"/>
      <c r="Q135" s="2"/>
      <c r="R135" s="2"/>
      <c r="S135" s="2"/>
      <c r="T135" s="2"/>
      <c r="U135" s="2"/>
      <c r="V135" s="2"/>
    </row>
    <row r="136">
      <c r="A136" s="6" t="str">
        <f>HYPERLINK("https://www.levainbakery.com/","Levain Bakery")</f>
        <v>Levain Bakery</v>
      </c>
      <c r="B136" s="7" t="s">
        <v>679</v>
      </c>
      <c r="C136" s="2" t="s">
        <v>21</v>
      </c>
      <c r="D136" s="2">
        <v>5.0</v>
      </c>
      <c r="E136" s="2">
        <v>3.0</v>
      </c>
      <c r="F136" s="9" t="s">
        <v>680</v>
      </c>
      <c r="G136" s="10" t="s">
        <v>681</v>
      </c>
      <c r="H136" s="11" t="s">
        <v>682</v>
      </c>
      <c r="I136" s="13" t="s">
        <v>683</v>
      </c>
      <c r="J136" s="14">
        <v>43366.0</v>
      </c>
      <c r="K136" s="2" t="s">
        <v>37</v>
      </c>
      <c r="L136" s="9"/>
      <c r="M136" s="15"/>
      <c r="N136" s="2"/>
      <c r="O136" s="2"/>
      <c r="P136" s="2"/>
      <c r="Q136" s="2"/>
      <c r="R136" s="2"/>
      <c r="S136" s="2"/>
      <c r="T136" s="2"/>
      <c r="U136" s="2"/>
      <c r="V136" s="2"/>
    </row>
    <row r="137">
      <c r="A137" s="6" t="str">
        <f>HYPERLINK("https://mahzedahrbakery.com/#!/","Mah-Ze-Dahr Bakery")</f>
        <v>Mah-Ze-Dahr Bakery</v>
      </c>
      <c r="B137" s="7" t="s">
        <v>679</v>
      </c>
      <c r="C137" s="2" t="s">
        <v>41</v>
      </c>
      <c r="D137" s="2">
        <v>5.0</v>
      </c>
      <c r="E137" s="2">
        <v>3.0</v>
      </c>
      <c r="F137" s="9" t="s">
        <v>686</v>
      </c>
      <c r="G137" s="10" t="s">
        <v>687</v>
      </c>
      <c r="H137" s="11" t="s">
        <v>688</v>
      </c>
      <c r="I137" s="13" t="s">
        <v>683</v>
      </c>
      <c r="J137" s="14">
        <v>43366.0</v>
      </c>
      <c r="K137" s="11" t="s">
        <v>30</v>
      </c>
      <c r="L137" s="9">
        <v>1.0</v>
      </c>
      <c r="M137" s="15"/>
      <c r="N137" s="15"/>
      <c r="O137" s="15"/>
      <c r="P137" s="15"/>
      <c r="Q137" s="15"/>
      <c r="R137" s="15"/>
      <c r="S137" s="15"/>
      <c r="T137" s="15"/>
      <c r="U137" s="15"/>
      <c r="V137" s="15"/>
    </row>
    <row r="138">
      <c r="A138" s="6" t="str">
        <f>HYPERLINK("http://www.kura-corpo.co.jp/","Kura Sushi")</f>
        <v>Kura Sushi</v>
      </c>
      <c r="B138" s="7" t="s">
        <v>689</v>
      </c>
      <c r="C138" s="2" t="s">
        <v>41</v>
      </c>
      <c r="D138" s="2">
        <v>5.0</v>
      </c>
      <c r="E138" s="2">
        <v>4.0</v>
      </c>
      <c r="F138" s="9" t="s">
        <v>690</v>
      </c>
      <c r="G138" s="10" t="s">
        <v>691</v>
      </c>
      <c r="H138" s="11" t="s">
        <v>692</v>
      </c>
      <c r="I138" s="13" t="s">
        <v>693</v>
      </c>
      <c r="J138" s="14">
        <v>43373.0</v>
      </c>
      <c r="K138" s="11" t="s">
        <v>30</v>
      </c>
      <c r="L138" s="9">
        <v>1.0</v>
      </c>
      <c r="M138" s="2" t="s">
        <v>694</v>
      </c>
      <c r="N138" s="15"/>
      <c r="O138" s="15"/>
      <c r="P138" s="15"/>
      <c r="Q138" s="15"/>
      <c r="R138" s="15"/>
      <c r="S138" s="15"/>
      <c r="T138" s="15"/>
      <c r="U138" s="15"/>
      <c r="V138" s="15"/>
    </row>
    <row r="139">
      <c r="A139" s="6" t="str">
        <f>HYPERLINK("http://www.kyubey.jp/en","Kyubey")</f>
        <v>Kyubey</v>
      </c>
      <c r="B139" s="7" t="s">
        <v>689</v>
      </c>
      <c r="C139" s="2" t="s">
        <v>33</v>
      </c>
      <c r="D139" s="2">
        <v>5.0</v>
      </c>
      <c r="E139" s="2">
        <v>4.0</v>
      </c>
      <c r="F139" s="9" t="s">
        <v>695</v>
      </c>
      <c r="G139" s="10" t="s">
        <v>696</v>
      </c>
      <c r="H139" s="11" t="s">
        <v>698</v>
      </c>
      <c r="I139" s="13" t="s">
        <v>693</v>
      </c>
      <c r="J139" s="14">
        <v>43373.0</v>
      </c>
      <c r="K139" s="11" t="s">
        <v>30</v>
      </c>
      <c r="L139" s="9">
        <v>4.0</v>
      </c>
      <c r="M139" s="15"/>
      <c r="N139" s="2"/>
      <c r="O139" s="2"/>
      <c r="P139" s="2"/>
      <c r="Q139" s="2"/>
      <c r="R139" s="2"/>
      <c r="S139" s="2"/>
      <c r="T139" s="2"/>
      <c r="U139" s="2"/>
      <c r="V139" s="2"/>
    </row>
    <row r="140">
      <c r="A140" s="6" t="str">
        <f>HYPERLINK("http://www.sushi-shun.jp/","Sushi Dokoro Shun")</f>
        <v>Sushi Dokoro Shun</v>
      </c>
      <c r="B140" s="7" t="s">
        <v>689</v>
      </c>
      <c r="C140" s="2" t="s">
        <v>21</v>
      </c>
      <c r="D140" s="2">
        <v>5.0</v>
      </c>
      <c r="E140" s="2">
        <v>4.0</v>
      </c>
      <c r="F140" s="9" t="s">
        <v>700</v>
      </c>
      <c r="G140" s="10" t="s">
        <v>701</v>
      </c>
      <c r="H140" s="11" t="s">
        <v>702</v>
      </c>
      <c r="I140" s="13" t="s">
        <v>693</v>
      </c>
      <c r="J140" s="14">
        <v>43373.0</v>
      </c>
      <c r="K140" s="11" t="s">
        <v>30</v>
      </c>
      <c r="L140" s="9"/>
      <c r="M140" s="15"/>
      <c r="N140" s="15"/>
      <c r="O140" s="15"/>
      <c r="P140" s="15"/>
      <c r="Q140" s="15"/>
      <c r="R140" s="15"/>
      <c r="S140" s="15"/>
      <c r="T140" s="15"/>
      <c r="U140" s="15"/>
      <c r="V140" s="15"/>
    </row>
    <row r="141">
      <c r="A141" s="6" t="str">
        <f>HYPERLINK("http://www.akuafarm.com/kagayaki/index.html","Aqua Farm Chichibu")</f>
        <v>Aqua Farm Chichibu</v>
      </c>
      <c r="B141" s="7" t="s">
        <v>704</v>
      </c>
      <c r="C141" s="2" t="s">
        <v>33</v>
      </c>
      <c r="D141" s="2">
        <v>5.0</v>
      </c>
      <c r="E141" s="2">
        <v>5.0</v>
      </c>
      <c r="F141" s="9" t="s">
        <v>705</v>
      </c>
      <c r="G141" s="10" t="s">
        <v>706</v>
      </c>
      <c r="H141" s="11" t="s">
        <v>707</v>
      </c>
      <c r="I141" s="13" t="s">
        <v>708</v>
      </c>
      <c r="J141" s="14">
        <v>43380.0</v>
      </c>
      <c r="K141" s="11" t="s">
        <v>30</v>
      </c>
      <c r="L141" s="9"/>
      <c r="M141" s="2" t="s">
        <v>710</v>
      </c>
      <c r="N141" s="15"/>
      <c r="O141" s="15"/>
      <c r="P141" s="15"/>
      <c r="Q141" s="15"/>
      <c r="R141" s="15"/>
      <c r="S141" s="15"/>
      <c r="T141" s="15"/>
      <c r="U141" s="15"/>
      <c r="V141" s="15"/>
    </row>
    <row r="142">
      <c r="A142" s="6" t="str">
        <f>HYPERLINK("https://www.create-restaurants.co.jp/shop/index.php?controller=FrontCrShop&amp;action=shop_show&amp;id=1106","Maccha House Kiyomizu-Dera")</f>
        <v>Maccha House Kiyomizu-Dera</v>
      </c>
      <c r="B142" s="7" t="s">
        <v>704</v>
      </c>
      <c r="C142" s="2" t="s">
        <v>645</v>
      </c>
      <c r="D142" s="2">
        <v>5.0</v>
      </c>
      <c r="E142" s="2">
        <v>5.0</v>
      </c>
      <c r="F142" s="9" t="s">
        <v>711</v>
      </c>
      <c r="G142" s="10" t="s">
        <v>712</v>
      </c>
      <c r="H142" s="11" t="s">
        <v>713</v>
      </c>
      <c r="I142" s="13" t="s">
        <v>708</v>
      </c>
      <c r="J142" s="14">
        <v>43380.0</v>
      </c>
      <c r="K142" s="11" t="s">
        <v>30</v>
      </c>
      <c r="L142" s="9"/>
      <c r="M142" s="15"/>
      <c r="N142" s="15"/>
      <c r="O142" s="15"/>
      <c r="P142" s="15"/>
      <c r="Q142" s="15"/>
      <c r="R142" s="15"/>
      <c r="S142" s="15"/>
      <c r="T142" s="15"/>
      <c r="U142" s="15"/>
      <c r="V142" s="15"/>
    </row>
    <row r="143">
      <c r="A143" s="6" t="str">
        <f>HYPERLINK("https://www.tsukiji-marutake.com/","Marutake")</f>
        <v>Marutake</v>
      </c>
      <c r="B143" s="7" t="s">
        <v>704</v>
      </c>
      <c r="C143" s="2" t="s">
        <v>41</v>
      </c>
      <c r="D143" s="2">
        <v>5.0</v>
      </c>
      <c r="E143" s="2">
        <v>5.0</v>
      </c>
      <c r="F143" s="9" t="s">
        <v>715</v>
      </c>
      <c r="G143" s="10" t="s">
        <v>716</v>
      </c>
      <c r="H143" s="11" t="s">
        <v>717</v>
      </c>
      <c r="I143" s="13" t="s">
        <v>708</v>
      </c>
      <c r="J143" s="14">
        <v>43380.0</v>
      </c>
      <c r="K143" s="11" t="s">
        <v>30</v>
      </c>
      <c r="L143" s="9"/>
      <c r="M143" s="15"/>
      <c r="N143" s="15"/>
      <c r="O143" s="15"/>
      <c r="P143" s="15"/>
      <c r="Q143" s="15"/>
      <c r="R143" s="15"/>
      <c r="S143" s="15"/>
      <c r="T143" s="15"/>
      <c r="U143" s="15"/>
      <c r="V143" s="15"/>
    </row>
    <row r="144">
      <c r="A144" s="6" t="str">
        <f>HYPERLINK("http://kichi2.net/","The Yoshokuya Kichi Kichi")</f>
        <v>The Yoshokuya Kichi Kichi</v>
      </c>
      <c r="B144" s="7" t="s">
        <v>704</v>
      </c>
      <c r="C144" s="2" t="s">
        <v>21</v>
      </c>
      <c r="D144" s="2">
        <v>5.0</v>
      </c>
      <c r="E144" s="2">
        <v>5.0</v>
      </c>
      <c r="F144" s="2" t="s">
        <v>719</v>
      </c>
      <c r="G144" s="10" t="s">
        <v>720</v>
      </c>
      <c r="H144" s="11" t="s">
        <v>721</v>
      </c>
      <c r="I144" s="13" t="s">
        <v>708</v>
      </c>
      <c r="J144" s="14">
        <v>43380.0</v>
      </c>
      <c r="K144" s="11" t="s">
        <v>30</v>
      </c>
      <c r="L144" s="9">
        <v>4.0</v>
      </c>
      <c r="M144" s="15"/>
      <c r="N144" s="15"/>
      <c r="O144" s="15"/>
      <c r="P144" s="15"/>
      <c r="Q144" s="15"/>
      <c r="R144" s="15"/>
      <c r="S144" s="15"/>
      <c r="T144" s="15"/>
      <c r="U144" s="15"/>
      <c r="V144" s="15"/>
    </row>
    <row r="145">
      <c r="A145" s="6" t="str">
        <f>HYPERLINK("https://www.boltonsspicy.com/","Bolton's Spicy Chicken &amp; Fish")</f>
        <v>Bolton's Spicy Chicken &amp; Fish</v>
      </c>
      <c r="B145" s="7" t="s">
        <v>723</v>
      </c>
      <c r="C145" s="2" t="s">
        <v>41</v>
      </c>
      <c r="D145" s="2">
        <v>5.0</v>
      </c>
      <c r="E145" s="2">
        <v>6.0</v>
      </c>
      <c r="F145" s="9" t="s">
        <v>724</v>
      </c>
      <c r="G145" s="10" t="s">
        <v>725</v>
      </c>
      <c r="H145" s="11" t="s">
        <v>726</v>
      </c>
      <c r="I145" s="13" t="s">
        <v>727</v>
      </c>
      <c r="J145" s="14">
        <v>43387.0</v>
      </c>
      <c r="K145" s="11" t="s">
        <v>30</v>
      </c>
      <c r="L145" s="9">
        <v>2.0</v>
      </c>
      <c r="M145" s="2" t="s">
        <v>728</v>
      </c>
      <c r="N145" s="2"/>
      <c r="O145" s="2"/>
      <c r="P145" s="2"/>
      <c r="Q145" s="2"/>
      <c r="R145" s="2"/>
      <c r="S145" s="2"/>
      <c r="T145" s="2"/>
      <c r="U145" s="2"/>
      <c r="V145" s="2"/>
    </row>
    <row r="146">
      <c r="A146" s="6" t="str">
        <f>HYPERLINK("http://www.theoinkster.com/","The Oinkster")</f>
        <v>The Oinkster</v>
      </c>
      <c r="B146" s="7" t="s">
        <v>723</v>
      </c>
      <c r="C146" s="2" t="s">
        <v>21</v>
      </c>
      <c r="D146" s="2">
        <v>5.0</v>
      </c>
      <c r="E146" s="2">
        <v>6.0</v>
      </c>
      <c r="F146" s="9" t="s">
        <v>730</v>
      </c>
      <c r="G146" s="10" t="s">
        <v>731</v>
      </c>
      <c r="H146" s="11" t="s">
        <v>732</v>
      </c>
      <c r="I146" s="13" t="s">
        <v>727</v>
      </c>
      <c r="J146" s="14">
        <v>43387.0</v>
      </c>
      <c r="K146" s="11" t="s">
        <v>30</v>
      </c>
      <c r="L146" s="9">
        <v>2.0</v>
      </c>
      <c r="M146" s="15"/>
      <c r="N146" s="2"/>
      <c r="O146" s="2"/>
      <c r="P146" s="2"/>
      <c r="Q146" s="2"/>
      <c r="R146" s="2"/>
      <c r="S146" s="2"/>
      <c r="T146" s="2"/>
      <c r="U146" s="2"/>
      <c r="V146" s="2"/>
    </row>
    <row r="147">
      <c r="A147" s="6" t="str">
        <f>HYPERLINK("http://www.wagyumafia.com/restaurants/?utm_source=tripadvisor&amp;utm_medium=referral","Wagyumafia Cutlet Sandwich")</f>
        <v>Wagyumafia Cutlet Sandwich</v>
      </c>
      <c r="B147" s="7" t="s">
        <v>723</v>
      </c>
      <c r="C147" s="2" t="s">
        <v>33</v>
      </c>
      <c r="D147" s="2">
        <v>5.0</v>
      </c>
      <c r="E147" s="2">
        <v>6.0</v>
      </c>
      <c r="F147" s="9" t="s">
        <v>734</v>
      </c>
      <c r="G147" s="10" t="s">
        <v>735</v>
      </c>
      <c r="H147" s="11" t="s">
        <v>736</v>
      </c>
      <c r="I147" s="13" t="s">
        <v>727</v>
      </c>
      <c r="J147" s="14">
        <v>43387.0</v>
      </c>
      <c r="K147" s="11" t="s">
        <v>30</v>
      </c>
      <c r="L147" s="9"/>
      <c r="M147" s="15"/>
      <c r="N147" s="15"/>
      <c r="O147" s="15"/>
      <c r="P147" s="15"/>
      <c r="Q147" s="15"/>
      <c r="R147" s="15"/>
      <c r="S147" s="15"/>
      <c r="T147" s="15"/>
      <c r="U147" s="15"/>
      <c r="V147" s="15"/>
    </row>
    <row r="148">
      <c r="A148" s="6" t="str">
        <f>HYPERLINK("http://www.pampas-grill.com/","CLOSED Pampas Grill")</f>
        <v>CLOSED Pampas Grill</v>
      </c>
      <c r="B148" s="7" t="s">
        <v>737</v>
      </c>
      <c r="C148" s="2" t="s">
        <v>738</v>
      </c>
      <c r="D148" s="2" t="s">
        <v>738</v>
      </c>
      <c r="E148" s="2">
        <v>1.0</v>
      </c>
      <c r="F148" s="9" t="s">
        <v>739</v>
      </c>
      <c r="G148" s="10" t="s">
        <v>740</v>
      </c>
      <c r="H148" s="11" t="s">
        <v>741</v>
      </c>
      <c r="I148" s="13" t="s">
        <v>742</v>
      </c>
      <c r="J148" s="14">
        <v>43436.0</v>
      </c>
      <c r="K148" s="11" t="s">
        <v>30</v>
      </c>
      <c r="L148" s="9"/>
      <c r="M148" s="2" t="s">
        <v>744</v>
      </c>
      <c r="N148" s="15"/>
      <c r="O148" s="15"/>
      <c r="P148" s="15"/>
      <c r="Q148" s="15"/>
      <c r="R148" s="15"/>
      <c r="S148" s="15"/>
      <c r="T148" s="15"/>
      <c r="U148" s="15"/>
      <c r="V148" s="15"/>
    </row>
    <row r="149">
      <c r="A149" s="6" t="str">
        <f>HYPERLINK("https://www.thepieholela.com/","The Pie Hole")</f>
        <v>The Pie Hole</v>
      </c>
      <c r="B149" s="7" t="s">
        <v>745</v>
      </c>
      <c r="C149" s="2" t="s">
        <v>738</v>
      </c>
      <c r="D149" s="2" t="s">
        <v>738</v>
      </c>
      <c r="E149" s="2">
        <v>2.0</v>
      </c>
      <c r="F149" s="2" t="s">
        <v>746</v>
      </c>
      <c r="G149" s="10" t="s">
        <v>747</v>
      </c>
      <c r="H149" s="11" t="s">
        <v>748</v>
      </c>
      <c r="I149" s="13" t="s">
        <v>749</v>
      </c>
      <c r="J149" s="14">
        <v>43443.0</v>
      </c>
      <c r="K149" s="11" t="s">
        <v>30</v>
      </c>
      <c r="L149" s="9"/>
      <c r="M149" s="2" t="s">
        <v>753</v>
      </c>
      <c r="N149" s="2"/>
      <c r="O149" s="2"/>
      <c r="P149" s="2"/>
      <c r="Q149" s="2"/>
      <c r="R149" s="2"/>
      <c r="S149" s="2"/>
      <c r="T149" s="2"/>
      <c r="U149" s="2"/>
      <c r="V149" s="2"/>
    </row>
    <row r="150">
      <c r="A150" s="6" t="str">
        <f>HYPERLINK("https://www.acabutchershop.com/","A Cut Above Butcher Shop")</f>
        <v>A Cut Above Butcher Shop</v>
      </c>
      <c r="B150" s="7" t="s">
        <v>755</v>
      </c>
      <c r="C150" s="2" t="s">
        <v>738</v>
      </c>
      <c r="D150" s="2" t="s">
        <v>738</v>
      </c>
      <c r="E150" s="2">
        <v>3.0</v>
      </c>
      <c r="F150" s="2" t="s">
        <v>756</v>
      </c>
      <c r="G150" s="10" t="s">
        <v>757</v>
      </c>
      <c r="H150" s="11" t="s">
        <v>758</v>
      </c>
      <c r="I150" s="13" t="s">
        <v>759</v>
      </c>
      <c r="J150" s="14">
        <v>43450.0</v>
      </c>
      <c r="K150" s="11" t="s">
        <v>30</v>
      </c>
      <c r="L150" s="9"/>
      <c r="M150" s="15"/>
      <c r="N150" s="15"/>
      <c r="O150" s="15"/>
      <c r="P150" s="15"/>
      <c r="Q150" s="15"/>
      <c r="R150" s="15"/>
      <c r="S150" s="15"/>
      <c r="T150" s="15"/>
      <c r="U150" s="15"/>
      <c r="V150" s="15"/>
    </row>
    <row r="151">
      <c r="A151" s="6" t="str">
        <f>HYPERLINK("https://www.yelp.com/biz/sinuiju-chapssal-soondae-los-angeles","CLOSED Sinuiji Chapsal Soonae")</f>
        <v>CLOSED Sinuiji Chapsal Soonae</v>
      </c>
      <c r="B151" s="7" t="s">
        <v>755</v>
      </c>
      <c r="C151" s="2" t="s">
        <v>738</v>
      </c>
      <c r="D151" s="2" t="s">
        <v>738</v>
      </c>
      <c r="E151" s="2">
        <v>3.0</v>
      </c>
      <c r="F151" s="9" t="s">
        <v>762</v>
      </c>
      <c r="G151" s="10" t="s">
        <v>763</v>
      </c>
      <c r="H151" s="11" t="s">
        <v>764</v>
      </c>
      <c r="I151" s="13" t="s">
        <v>759</v>
      </c>
      <c r="J151" s="14">
        <v>43450.0</v>
      </c>
      <c r="K151" s="11" t="s">
        <v>30</v>
      </c>
      <c r="L151" s="9"/>
      <c r="M151" s="15"/>
      <c r="N151" s="15"/>
      <c r="O151" s="15"/>
      <c r="P151" s="15"/>
      <c r="Q151" s="15"/>
      <c r="R151" s="15"/>
      <c r="S151" s="15"/>
      <c r="T151" s="15"/>
      <c r="U151" s="15"/>
      <c r="V151" s="15"/>
    </row>
    <row r="152">
      <c r="A152" s="6" t="str">
        <f>HYPERLINK("http://www.masuzushi.com","Nikko Masuzushi Honpo")</f>
        <v>Nikko Masuzushi Honpo</v>
      </c>
      <c r="B152" s="7" t="s">
        <v>765</v>
      </c>
      <c r="C152" s="2" t="s">
        <v>440</v>
      </c>
      <c r="D152" s="2" t="s">
        <v>440</v>
      </c>
      <c r="E152" s="2">
        <v>3.0</v>
      </c>
      <c r="F152" s="9" t="s">
        <v>766</v>
      </c>
      <c r="G152" s="10" t="s">
        <v>767</v>
      </c>
      <c r="H152" s="11" t="s">
        <v>769</v>
      </c>
      <c r="I152" s="13" t="s">
        <v>770</v>
      </c>
      <c r="J152" s="14">
        <v>43541.0</v>
      </c>
      <c r="K152" s="11" t="s">
        <v>30</v>
      </c>
      <c r="L152" s="9"/>
      <c r="M152" s="15"/>
      <c r="N152" s="15"/>
      <c r="O152" s="15"/>
      <c r="P152" s="15"/>
      <c r="Q152" s="15"/>
      <c r="R152" s="15"/>
      <c r="S152" s="15"/>
      <c r="T152" s="15"/>
      <c r="U152" s="15"/>
      <c r="V152" s="15"/>
    </row>
    <row r="153">
      <c r="A153" s="16" t="s">
        <v>774</v>
      </c>
      <c r="B153" s="7" t="s">
        <v>776</v>
      </c>
      <c r="C153" s="2" t="s">
        <v>440</v>
      </c>
      <c r="D153" s="2" t="s">
        <v>440</v>
      </c>
      <c r="E153" s="2">
        <v>4.0</v>
      </c>
      <c r="F153" s="9" t="s">
        <v>777</v>
      </c>
      <c r="G153" s="10" t="s">
        <v>778</v>
      </c>
      <c r="H153" s="2" t="s">
        <v>779</v>
      </c>
      <c r="I153" s="13" t="s">
        <v>780</v>
      </c>
      <c r="J153" s="14">
        <v>43548.0</v>
      </c>
      <c r="K153" s="11" t="s">
        <v>30</v>
      </c>
      <c r="L153" s="9">
        <v>4.0</v>
      </c>
      <c r="M153" s="2" t="s">
        <v>782</v>
      </c>
      <c r="N153" s="15"/>
      <c r="O153" s="15"/>
      <c r="P153" s="15"/>
      <c r="Q153" s="15"/>
      <c r="R153" s="15"/>
      <c r="S153" s="15"/>
      <c r="T153" s="15"/>
      <c r="U153" s="15"/>
      <c r="V153" s="15"/>
    </row>
    <row r="154">
      <c r="A154" s="16" t="s">
        <v>783</v>
      </c>
      <c r="B154" s="7" t="s">
        <v>786</v>
      </c>
      <c r="C154" s="2" t="s">
        <v>21</v>
      </c>
      <c r="D154" s="2">
        <v>6.0</v>
      </c>
      <c r="E154" s="2">
        <v>1.0</v>
      </c>
      <c r="F154" s="9" t="s">
        <v>787</v>
      </c>
      <c r="G154" s="10" t="s">
        <v>788</v>
      </c>
      <c r="H154" s="2" t="s">
        <v>789</v>
      </c>
      <c r="I154" s="13" t="s">
        <v>790</v>
      </c>
      <c r="J154" s="27">
        <v>43660.0</v>
      </c>
      <c r="K154" s="11" t="s">
        <v>30</v>
      </c>
      <c r="L154" s="9">
        <v>1.0</v>
      </c>
      <c r="M154" s="2" t="s">
        <v>794</v>
      </c>
      <c r="N154" s="2"/>
      <c r="O154" s="2"/>
      <c r="P154" s="2"/>
      <c r="Q154" s="2"/>
      <c r="R154" s="2"/>
      <c r="S154" s="2"/>
      <c r="T154" s="2"/>
      <c r="U154" s="2"/>
      <c r="V154" s="2"/>
    </row>
    <row r="155">
      <c r="A155" s="16" t="s">
        <v>795</v>
      </c>
      <c r="B155" s="7" t="s">
        <v>786</v>
      </c>
      <c r="C155" s="2" t="s">
        <v>645</v>
      </c>
      <c r="D155" s="2">
        <v>6.0</v>
      </c>
      <c r="E155" s="2">
        <v>1.0</v>
      </c>
      <c r="F155" s="9" t="s">
        <v>797</v>
      </c>
      <c r="G155" s="10" t="s">
        <v>798</v>
      </c>
      <c r="H155" s="2" t="s">
        <v>799</v>
      </c>
      <c r="I155" s="13" t="s">
        <v>790</v>
      </c>
      <c r="J155" s="27">
        <v>43660.0</v>
      </c>
      <c r="K155" s="11" t="s">
        <v>30</v>
      </c>
      <c r="L155" s="9"/>
      <c r="M155" s="15"/>
      <c r="N155" s="15"/>
      <c r="O155" s="15"/>
      <c r="P155" s="15"/>
      <c r="Q155" s="15"/>
      <c r="R155" s="15"/>
      <c r="S155" s="15"/>
      <c r="T155" s="15"/>
      <c r="U155" s="15"/>
      <c r="V155" s="15"/>
    </row>
    <row r="156">
      <c r="A156" s="16" t="s">
        <v>800</v>
      </c>
      <c r="B156" s="7" t="s">
        <v>786</v>
      </c>
      <c r="C156" s="2" t="s">
        <v>645</v>
      </c>
      <c r="D156" s="2">
        <v>6.0</v>
      </c>
      <c r="E156" s="2">
        <v>1.0</v>
      </c>
      <c r="F156" s="2" t="s">
        <v>802</v>
      </c>
      <c r="G156" s="10" t="s">
        <v>803</v>
      </c>
      <c r="H156" s="2" t="s">
        <v>804</v>
      </c>
      <c r="I156" s="13" t="s">
        <v>790</v>
      </c>
      <c r="J156" s="27">
        <v>43660.0</v>
      </c>
      <c r="K156" s="11" t="s">
        <v>30</v>
      </c>
      <c r="L156" s="9"/>
      <c r="M156" s="15"/>
      <c r="N156" s="15"/>
      <c r="O156" s="15"/>
      <c r="P156" s="15"/>
      <c r="Q156" s="15"/>
      <c r="R156" s="15"/>
      <c r="S156" s="15"/>
      <c r="T156" s="15"/>
      <c r="U156" s="15"/>
      <c r="V156" s="15"/>
    </row>
    <row r="157">
      <c r="A157" s="16" t="s">
        <v>806</v>
      </c>
      <c r="B157" s="7" t="s">
        <v>786</v>
      </c>
      <c r="C157" s="2" t="s">
        <v>33</v>
      </c>
      <c r="D157" s="2">
        <v>6.0</v>
      </c>
      <c r="E157" s="2">
        <v>1.0</v>
      </c>
      <c r="F157" s="9" t="s">
        <v>808</v>
      </c>
      <c r="G157" s="10" t="s">
        <v>809</v>
      </c>
      <c r="H157" s="2" t="s">
        <v>810</v>
      </c>
      <c r="I157" s="13" t="s">
        <v>790</v>
      </c>
      <c r="J157" s="27">
        <v>43660.0</v>
      </c>
      <c r="K157" s="2" t="s">
        <v>37</v>
      </c>
      <c r="L157" s="9">
        <v>1.0</v>
      </c>
      <c r="M157" s="2" t="s">
        <v>811</v>
      </c>
      <c r="N157" s="2"/>
      <c r="O157" s="2"/>
      <c r="P157" s="2"/>
      <c r="Q157" s="2"/>
      <c r="R157" s="2"/>
      <c r="S157" s="2"/>
      <c r="T157" s="2"/>
      <c r="U157" s="2"/>
      <c r="V157" s="2"/>
    </row>
    <row r="158">
      <c r="A158" s="16" t="s">
        <v>812</v>
      </c>
      <c r="B158" s="7" t="s">
        <v>786</v>
      </c>
      <c r="C158" s="2" t="s">
        <v>645</v>
      </c>
      <c r="D158" s="2">
        <v>6.0</v>
      </c>
      <c r="E158" s="2">
        <v>1.0</v>
      </c>
      <c r="F158" s="9" t="s">
        <v>815</v>
      </c>
      <c r="G158" s="10" t="s">
        <v>816</v>
      </c>
      <c r="H158" s="2" t="s">
        <v>817</v>
      </c>
      <c r="I158" s="13" t="s">
        <v>790</v>
      </c>
      <c r="J158" s="27">
        <v>43660.0</v>
      </c>
      <c r="K158" s="11" t="s">
        <v>30</v>
      </c>
      <c r="L158" s="9"/>
      <c r="M158" s="15"/>
      <c r="N158" s="2"/>
      <c r="O158" s="2"/>
      <c r="P158" s="2"/>
      <c r="Q158" s="2"/>
      <c r="R158" s="2"/>
      <c r="S158" s="2"/>
      <c r="T158" s="2"/>
      <c r="U158" s="2"/>
      <c r="V158" s="2"/>
    </row>
    <row r="159">
      <c r="A159" s="16" t="s">
        <v>819</v>
      </c>
      <c r="B159" s="28" t="s">
        <v>821</v>
      </c>
      <c r="C159" s="2" t="s">
        <v>33</v>
      </c>
      <c r="D159" s="29">
        <v>6.0</v>
      </c>
      <c r="E159" s="30">
        <v>2.0</v>
      </c>
      <c r="F159" s="9" t="s">
        <v>822</v>
      </c>
      <c r="G159" s="10" t="s">
        <v>823</v>
      </c>
      <c r="H159" s="2" t="s">
        <v>824</v>
      </c>
      <c r="I159" s="31" t="s">
        <v>825</v>
      </c>
      <c r="J159" s="32">
        <v>43667.0</v>
      </c>
      <c r="K159" s="2" t="s">
        <v>37</v>
      </c>
      <c r="L159" s="9"/>
      <c r="M159" s="2" t="s">
        <v>828</v>
      </c>
      <c r="N159" s="2"/>
      <c r="O159" s="2"/>
      <c r="P159" s="2"/>
      <c r="Q159" s="2"/>
      <c r="R159" s="2"/>
      <c r="S159" s="2"/>
      <c r="T159" s="2"/>
      <c r="U159" s="2"/>
      <c r="V159" s="2"/>
    </row>
    <row r="160">
      <c r="A160" s="16" t="s">
        <v>830</v>
      </c>
      <c r="B160" s="28" t="s">
        <v>821</v>
      </c>
      <c r="C160" s="2" t="s">
        <v>21</v>
      </c>
      <c r="D160" s="29">
        <v>6.0</v>
      </c>
      <c r="E160" s="30">
        <v>2.0</v>
      </c>
      <c r="F160" s="2" t="s">
        <v>832</v>
      </c>
      <c r="G160" s="10" t="s">
        <v>833</v>
      </c>
      <c r="H160" s="2" t="s">
        <v>834</v>
      </c>
      <c r="I160" s="31" t="s">
        <v>825</v>
      </c>
      <c r="J160" s="32">
        <v>43667.0</v>
      </c>
      <c r="K160" s="11" t="s">
        <v>30</v>
      </c>
      <c r="L160" s="9"/>
      <c r="M160" s="15"/>
      <c r="N160" s="15"/>
      <c r="O160" s="15"/>
      <c r="P160" s="15"/>
      <c r="Q160" s="15"/>
      <c r="R160" s="15"/>
      <c r="S160" s="15"/>
      <c r="T160" s="15"/>
      <c r="U160" s="15"/>
      <c r="V160" s="15"/>
    </row>
    <row r="161">
      <c r="A161" s="16" t="s">
        <v>835</v>
      </c>
      <c r="B161" s="28" t="s">
        <v>821</v>
      </c>
      <c r="C161" s="2" t="s">
        <v>41</v>
      </c>
      <c r="D161" s="29">
        <v>6.0</v>
      </c>
      <c r="E161" s="30">
        <v>2.0</v>
      </c>
      <c r="F161" s="9" t="s">
        <v>839</v>
      </c>
      <c r="G161" s="10" t="s">
        <v>840</v>
      </c>
      <c r="H161" s="2" t="s">
        <v>841</v>
      </c>
      <c r="I161" s="31" t="s">
        <v>825</v>
      </c>
      <c r="J161" s="32">
        <v>43667.0</v>
      </c>
      <c r="K161" s="11" t="s">
        <v>30</v>
      </c>
      <c r="L161" s="9"/>
      <c r="M161" s="2" t="s">
        <v>842</v>
      </c>
      <c r="N161" s="15"/>
      <c r="O161" s="15"/>
      <c r="P161" s="15"/>
      <c r="Q161" s="15"/>
      <c r="R161" s="15"/>
      <c r="S161" s="15"/>
      <c r="T161" s="15"/>
      <c r="U161" s="15"/>
      <c r="V161" s="15"/>
    </row>
    <row r="162">
      <c r="A162" s="16" t="s">
        <v>843</v>
      </c>
      <c r="B162" s="7" t="s">
        <v>845</v>
      </c>
      <c r="C162" s="2" t="s">
        <v>645</v>
      </c>
      <c r="D162" s="2">
        <v>6.0</v>
      </c>
      <c r="E162" s="2">
        <v>3.0</v>
      </c>
      <c r="F162" s="9" t="s">
        <v>846</v>
      </c>
      <c r="G162" s="10" t="s">
        <v>847</v>
      </c>
      <c r="H162" s="2" t="s">
        <v>848</v>
      </c>
      <c r="I162" s="13" t="s">
        <v>849</v>
      </c>
      <c r="J162" s="14">
        <v>43674.0</v>
      </c>
      <c r="K162" s="11" t="s">
        <v>30</v>
      </c>
      <c r="L162" s="9"/>
      <c r="M162" s="15"/>
      <c r="N162" s="15"/>
      <c r="O162" s="15"/>
      <c r="P162" s="15"/>
      <c r="Q162" s="15"/>
      <c r="R162" s="15"/>
      <c r="S162" s="15"/>
      <c r="T162" s="15"/>
      <c r="U162" s="15"/>
      <c r="V162" s="15"/>
    </row>
    <row r="163">
      <c r="A163" s="16" t="s">
        <v>851</v>
      </c>
      <c r="B163" s="7" t="s">
        <v>845</v>
      </c>
      <c r="C163" s="2" t="s">
        <v>41</v>
      </c>
      <c r="D163" s="2">
        <v>6.0</v>
      </c>
      <c r="E163" s="2">
        <v>3.0</v>
      </c>
      <c r="F163" s="9" t="s">
        <v>854</v>
      </c>
      <c r="G163" s="10" t="s">
        <v>855</v>
      </c>
      <c r="H163" s="2" t="s">
        <v>856</v>
      </c>
      <c r="I163" s="13" t="s">
        <v>849</v>
      </c>
      <c r="J163" s="14">
        <v>43674.0</v>
      </c>
      <c r="K163" s="11" t="s">
        <v>30</v>
      </c>
      <c r="L163" s="9"/>
      <c r="M163" s="2" t="s">
        <v>857</v>
      </c>
      <c r="N163" s="15"/>
      <c r="O163" s="15"/>
      <c r="P163" s="15"/>
      <c r="Q163" s="15"/>
      <c r="R163" s="15"/>
      <c r="S163" s="15"/>
      <c r="T163" s="15"/>
      <c r="U163" s="15"/>
      <c r="V163" s="15"/>
    </row>
    <row r="164">
      <c r="A164" s="16" t="s">
        <v>858</v>
      </c>
      <c r="B164" s="7" t="s">
        <v>845</v>
      </c>
      <c r="C164" s="2" t="s">
        <v>33</v>
      </c>
      <c r="D164" s="2">
        <v>6.0</v>
      </c>
      <c r="E164" s="2">
        <v>3.0</v>
      </c>
      <c r="F164" s="9" t="s">
        <v>860</v>
      </c>
      <c r="G164" s="10" t="s">
        <v>861</v>
      </c>
      <c r="H164" s="2" t="s">
        <v>862</v>
      </c>
      <c r="I164" s="13" t="s">
        <v>849</v>
      </c>
      <c r="J164" s="14">
        <v>43674.0</v>
      </c>
      <c r="K164" s="11" t="s">
        <v>30</v>
      </c>
      <c r="L164" s="9"/>
      <c r="M164" s="15"/>
      <c r="N164" s="15"/>
      <c r="O164" s="15"/>
      <c r="P164" s="15"/>
      <c r="Q164" s="15"/>
      <c r="R164" s="15"/>
      <c r="S164" s="15"/>
      <c r="T164" s="15"/>
      <c r="U164" s="15"/>
      <c r="V164" s="15"/>
    </row>
    <row r="165">
      <c r="A165" s="16" t="s">
        <v>864</v>
      </c>
      <c r="B165" s="7" t="s">
        <v>865</v>
      </c>
      <c r="C165" s="2" t="s">
        <v>33</v>
      </c>
      <c r="D165" s="2">
        <v>6.0</v>
      </c>
      <c r="E165" s="2">
        <v>4.0</v>
      </c>
      <c r="F165" s="2" t="s">
        <v>866</v>
      </c>
      <c r="G165" s="10" t="s">
        <v>867</v>
      </c>
      <c r="H165" s="2" t="s">
        <v>868</v>
      </c>
      <c r="I165" s="13" t="s">
        <v>869</v>
      </c>
      <c r="J165" s="14">
        <v>43681.0</v>
      </c>
      <c r="K165" s="11" t="s">
        <v>30</v>
      </c>
      <c r="L165" s="9"/>
      <c r="M165" s="2" t="s">
        <v>872</v>
      </c>
      <c r="N165" s="2"/>
      <c r="O165" s="2"/>
      <c r="P165" s="2"/>
      <c r="Q165" s="2"/>
      <c r="R165" s="2"/>
      <c r="S165" s="2"/>
      <c r="T165" s="2"/>
      <c r="U165" s="2"/>
      <c r="V165" s="2"/>
    </row>
    <row r="166">
      <c r="A166" s="16" t="s">
        <v>874</v>
      </c>
      <c r="B166" s="7" t="s">
        <v>865</v>
      </c>
      <c r="C166" s="2" t="s">
        <v>41</v>
      </c>
      <c r="D166" s="2">
        <v>6.0</v>
      </c>
      <c r="E166" s="2">
        <v>4.0</v>
      </c>
      <c r="F166" s="2" t="s">
        <v>877</v>
      </c>
      <c r="G166" s="10" t="s">
        <v>878</v>
      </c>
      <c r="H166" s="2" t="s">
        <v>879</v>
      </c>
      <c r="I166" s="13" t="s">
        <v>869</v>
      </c>
      <c r="J166" s="14">
        <v>43681.0</v>
      </c>
      <c r="K166" s="11" t="s">
        <v>30</v>
      </c>
      <c r="L166" s="9"/>
      <c r="M166" s="15"/>
      <c r="N166" s="2"/>
      <c r="O166" s="2"/>
      <c r="P166" s="2"/>
      <c r="Q166" s="2"/>
      <c r="R166" s="2"/>
      <c r="S166" s="2"/>
      <c r="T166" s="2"/>
      <c r="U166" s="2"/>
      <c r="V166" s="2"/>
    </row>
    <row r="167">
      <c r="A167" s="16" t="s">
        <v>880</v>
      </c>
      <c r="B167" s="7" t="s">
        <v>865</v>
      </c>
      <c r="C167" s="2" t="s">
        <v>21</v>
      </c>
      <c r="D167" s="2">
        <v>6.0</v>
      </c>
      <c r="E167" s="2">
        <v>4.0</v>
      </c>
      <c r="F167" s="2" t="s">
        <v>882</v>
      </c>
      <c r="G167" s="10" t="s">
        <v>883</v>
      </c>
      <c r="H167" s="2" t="s">
        <v>70</v>
      </c>
      <c r="I167" s="13" t="s">
        <v>869</v>
      </c>
      <c r="J167" s="14">
        <v>43681.0</v>
      </c>
      <c r="K167" s="11" t="s">
        <v>30</v>
      </c>
      <c r="L167" s="9"/>
      <c r="M167" s="15"/>
      <c r="N167" s="2"/>
      <c r="O167" s="2"/>
      <c r="P167" s="2"/>
      <c r="Q167" s="2"/>
      <c r="R167" s="2"/>
      <c r="S167" s="2"/>
      <c r="T167" s="2"/>
      <c r="U167" s="2"/>
      <c r="V167" s="2"/>
    </row>
    <row r="168">
      <c r="A168" s="16" t="s">
        <v>884</v>
      </c>
      <c r="B168" s="7" t="s">
        <v>887</v>
      </c>
      <c r="C168" s="2" t="s">
        <v>21</v>
      </c>
      <c r="D168" s="2">
        <v>6.0</v>
      </c>
      <c r="E168" s="2">
        <v>5.0</v>
      </c>
      <c r="F168" s="9" t="s">
        <v>889</v>
      </c>
      <c r="G168" s="10" t="s">
        <v>890</v>
      </c>
      <c r="H168" s="2" t="s">
        <v>891</v>
      </c>
      <c r="I168" s="13" t="s">
        <v>892</v>
      </c>
      <c r="J168" s="14">
        <v>43688.0</v>
      </c>
      <c r="K168" s="11" t="s">
        <v>30</v>
      </c>
      <c r="L168" s="9"/>
      <c r="M168" s="2" t="s">
        <v>894</v>
      </c>
      <c r="N168" s="2"/>
      <c r="O168" s="2"/>
      <c r="P168" s="2"/>
      <c r="Q168" s="2"/>
      <c r="R168" s="2"/>
      <c r="S168" s="2"/>
      <c r="T168" s="2"/>
      <c r="U168" s="2"/>
      <c r="V168" s="2"/>
    </row>
    <row r="169">
      <c r="A169" s="16" t="s">
        <v>895</v>
      </c>
      <c r="B169" s="7" t="s">
        <v>887</v>
      </c>
      <c r="C169" s="2" t="s">
        <v>33</v>
      </c>
      <c r="D169" s="2">
        <v>6.0</v>
      </c>
      <c r="E169" s="2">
        <v>5.0</v>
      </c>
      <c r="F169" s="9" t="s">
        <v>897</v>
      </c>
      <c r="G169" s="10" t="s">
        <v>898</v>
      </c>
      <c r="H169" s="2" t="s">
        <v>899</v>
      </c>
      <c r="I169" s="13" t="s">
        <v>892</v>
      </c>
      <c r="J169" s="14">
        <v>43688.0</v>
      </c>
      <c r="K169" s="11" t="s">
        <v>30</v>
      </c>
      <c r="L169" s="9">
        <v>1.0</v>
      </c>
      <c r="M169" s="2" t="s">
        <v>900</v>
      </c>
      <c r="N169" s="15"/>
      <c r="O169" s="15"/>
      <c r="P169" s="15"/>
      <c r="Q169" s="15"/>
      <c r="R169" s="15"/>
      <c r="S169" s="15"/>
      <c r="T169" s="15"/>
      <c r="U169" s="15"/>
      <c r="V169" s="15"/>
    </row>
    <row r="170">
      <c r="A170" s="16" t="s">
        <v>901</v>
      </c>
      <c r="B170" s="7" t="s">
        <v>887</v>
      </c>
      <c r="C170" s="2" t="s">
        <v>41</v>
      </c>
      <c r="D170" s="2">
        <v>6.0</v>
      </c>
      <c r="E170" s="2">
        <v>5.0</v>
      </c>
      <c r="F170" s="9" t="s">
        <v>903</v>
      </c>
      <c r="G170" s="10" t="s">
        <v>106</v>
      </c>
      <c r="H170" s="11" t="s">
        <v>904</v>
      </c>
      <c r="I170" s="13" t="s">
        <v>892</v>
      </c>
      <c r="J170" s="14">
        <v>43688.0</v>
      </c>
      <c r="K170" s="2" t="s">
        <v>37</v>
      </c>
      <c r="L170" s="9">
        <v>3.0</v>
      </c>
      <c r="M170" s="2" t="s">
        <v>905</v>
      </c>
      <c r="N170" s="2"/>
      <c r="O170" s="2"/>
      <c r="P170" s="2"/>
      <c r="Q170" s="2"/>
      <c r="R170" s="2"/>
      <c r="S170" s="2"/>
      <c r="T170" s="2"/>
      <c r="U170" s="2"/>
      <c r="V170" s="2"/>
    </row>
    <row r="171">
      <c r="A171" s="6" t="str">
        <f>HYPERLINK("http://www.tetsunyc.com/","CLOSED Tetsu")</f>
        <v>CLOSED Tetsu</v>
      </c>
      <c r="B171" s="7" t="s">
        <v>907</v>
      </c>
      <c r="C171" s="2" t="s">
        <v>33</v>
      </c>
      <c r="D171" s="2">
        <v>6.0</v>
      </c>
      <c r="E171" s="2">
        <v>6.0</v>
      </c>
      <c r="F171" s="2" t="s">
        <v>908</v>
      </c>
      <c r="G171" s="10" t="s">
        <v>909</v>
      </c>
      <c r="H171" s="11" t="s">
        <v>910</v>
      </c>
      <c r="I171" s="13" t="s">
        <v>912</v>
      </c>
      <c r="J171" s="14">
        <v>43695.0</v>
      </c>
      <c r="K171" s="11" t="s">
        <v>30</v>
      </c>
      <c r="L171" s="9">
        <v>2.0</v>
      </c>
      <c r="M171" s="15"/>
      <c r="N171" s="15"/>
      <c r="O171" s="15"/>
      <c r="P171" s="15"/>
      <c r="Q171" s="15"/>
      <c r="R171" s="15"/>
      <c r="S171" s="15"/>
      <c r="T171" s="15"/>
      <c r="U171" s="15"/>
      <c r="V171" s="15"/>
    </row>
    <row r="172">
      <c r="A172" s="6" t="str">
        <f>HYPERLINK("https://www.kingsgotsushi.com/","Kings Burger / Got Sushi?")</f>
        <v>Kings Burger / Got Sushi?</v>
      </c>
      <c r="B172" s="7" t="s">
        <v>907</v>
      </c>
      <c r="C172" s="2" t="s">
        <v>41</v>
      </c>
      <c r="D172" s="2">
        <v>6.0</v>
      </c>
      <c r="E172" s="2">
        <v>6.0</v>
      </c>
      <c r="F172" s="2" t="s">
        <v>915</v>
      </c>
      <c r="G172" s="10" t="s">
        <v>916</v>
      </c>
      <c r="H172" s="11" t="s">
        <v>917</v>
      </c>
      <c r="I172" s="13" t="s">
        <v>912</v>
      </c>
      <c r="J172" s="14">
        <v>43695.0</v>
      </c>
      <c r="K172" s="11" t="s">
        <v>30</v>
      </c>
      <c r="L172" s="9">
        <v>1.0</v>
      </c>
      <c r="M172" s="2" t="s">
        <v>318</v>
      </c>
      <c r="N172" s="15"/>
      <c r="O172" s="15"/>
      <c r="P172" s="15"/>
      <c r="Q172" s="15"/>
      <c r="R172" s="15"/>
      <c r="S172" s="15"/>
      <c r="T172" s="15"/>
      <c r="U172" s="15"/>
      <c r="V172" s="15"/>
    </row>
    <row r="173">
      <c r="A173" s="16" t="s">
        <v>918</v>
      </c>
      <c r="B173" s="7" t="s">
        <v>920</v>
      </c>
      <c r="C173" s="2" t="s">
        <v>33</v>
      </c>
      <c r="D173" s="2">
        <v>7.0</v>
      </c>
      <c r="E173" s="2">
        <v>1.0</v>
      </c>
      <c r="F173" s="2" t="s">
        <v>921</v>
      </c>
      <c r="G173" s="10" t="s">
        <v>922</v>
      </c>
      <c r="H173" s="2" t="s">
        <v>923</v>
      </c>
      <c r="I173" s="13" t="s">
        <v>924</v>
      </c>
      <c r="J173" s="14">
        <v>43751.0</v>
      </c>
      <c r="K173" s="2" t="s">
        <v>37</v>
      </c>
      <c r="L173" s="9">
        <v>1.0</v>
      </c>
      <c r="M173" s="15"/>
      <c r="N173" s="15"/>
      <c r="O173" s="15"/>
      <c r="P173" s="15"/>
      <c r="Q173" s="15"/>
      <c r="R173" s="15"/>
      <c r="S173" s="15"/>
      <c r="T173" s="15"/>
      <c r="U173" s="15"/>
      <c r="V173" s="15"/>
    </row>
    <row r="174">
      <c r="A174" s="16" t="s">
        <v>927</v>
      </c>
      <c r="B174" s="7" t="s">
        <v>920</v>
      </c>
      <c r="C174" s="2" t="s">
        <v>41</v>
      </c>
      <c r="D174" s="2">
        <v>7.0</v>
      </c>
      <c r="E174" s="2">
        <v>1.0</v>
      </c>
      <c r="F174" s="9" t="s">
        <v>928</v>
      </c>
      <c r="G174" s="10" t="s">
        <v>929</v>
      </c>
      <c r="H174" s="2" t="s">
        <v>930</v>
      </c>
      <c r="I174" s="13" t="s">
        <v>924</v>
      </c>
      <c r="J174" s="14">
        <v>43751.0</v>
      </c>
      <c r="K174" s="11" t="s">
        <v>30</v>
      </c>
      <c r="L174" s="9">
        <v>3.0</v>
      </c>
      <c r="M174" s="2" t="s">
        <v>931</v>
      </c>
      <c r="N174" s="2"/>
      <c r="O174" s="2"/>
      <c r="P174" s="2"/>
      <c r="Q174" s="2"/>
      <c r="R174" s="2"/>
      <c r="S174" s="2"/>
      <c r="T174" s="2"/>
      <c r="U174" s="2"/>
      <c r="V174" s="2"/>
    </row>
    <row r="175">
      <c r="A175" s="33" t="s">
        <v>933</v>
      </c>
      <c r="B175" s="7" t="s">
        <v>920</v>
      </c>
      <c r="C175" s="2" t="s">
        <v>645</v>
      </c>
      <c r="D175" s="2">
        <v>7.0</v>
      </c>
      <c r="E175" s="2">
        <v>1.0</v>
      </c>
      <c r="F175" s="9" t="s">
        <v>934</v>
      </c>
      <c r="G175" s="10" t="s">
        <v>936</v>
      </c>
      <c r="H175" s="34" t="s">
        <v>937</v>
      </c>
      <c r="I175" s="13" t="s">
        <v>924</v>
      </c>
      <c r="J175" s="14">
        <v>43751.0</v>
      </c>
      <c r="K175" s="11" t="s">
        <v>30</v>
      </c>
      <c r="L175" s="9"/>
      <c r="M175" s="15"/>
      <c r="N175" s="15"/>
      <c r="O175" s="15"/>
      <c r="P175" s="15"/>
      <c r="Q175" s="15"/>
      <c r="R175" s="15"/>
      <c r="S175" s="15"/>
      <c r="T175" s="15"/>
      <c r="U175" s="15"/>
      <c r="V175" s="15"/>
    </row>
    <row r="176">
      <c r="A176" s="16" t="s">
        <v>938</v>
      </c>
      <c r="B176" s="7" t="s">
        <v>920</v>
      </c>
      <c r="C176" s="2" t="s">
        <v>645</v>
      </c>
      <c r="D176" s="2">
        <v>7.0</v>
      </c>
      <c r="E176" s="2">
        <v>1.0</v>
      </c>
      <c r="F176" s="9" t="s">
        <v>940</v>
      </c>
      <c r="G176" s="10" t="s">
        <v>941</v>
      </c>
      <c r="H176" s="2" t="s">
        <v>942</v>
      </c>
      <c r="I176" s="13" t="s">
        <v>924</v>
      </c>
      <c r="J176" s="14">
        <v>43751.0</v>
      </c>
      <c r="K176" s="11" t="s">
        <v>30</v>
      </c>
      <c r="L176" s="9">
        <v>4.0</v>
      </c>
      <c r="M176" s="15"/>
      <c r="N176" s="15"/>
      <c r="O176" s="15"/>
      <c r="P176" s="15"/>
      <c r="Q176" s="15"/>
      <c r="R176" s="15"/>
      <c r="S176" s="15"/>
      <c r="T176" s="15"/>
      <c r="U176" s="15"/>
      <c r="V176" s="15"/>
    </row>
    <row r="177">
      <c r="A177" s="16" t="s">
        <v>943</v>
      </c>
      <c r="B177" s="7" t="s">
        <v>920</v>
      </c>
      <c r="C177" s="2" t="s">
        <v>645</v>
      </c>
      <c r="D177" s="2">
        <v>7.0</v>
      </c>
      <c r="E177" s="2">
        <v>1.0</v>
      </c>
      <c r="F177" s="9" t="s">
        <v>945</v>
      </c>
      <c r="G177" s="10" t="s">
        <v>946</v>
      </c>
      <c r="H177" s="2" t="s">
        <v>947</v>
      </c>
      <c r="I177" s="13" t="s">
        <v>924</v>
      </c>
      <c r="J177" s="14">
        <v>43751.0</v>
      </c>
      <c r="K177" s="11" t="s">
        <v>30</v>
      </c>
      <c r="L177" s="9">
        <v>4.0</v>
      </c>
      <c r="M177" s="15"/>
      <c r="N177" s="15"/>
      <c r="O177" s="15"/>
      <c r="P177" s="15"/>
      <c r="Q177" s="15"/>
      <c r="R177" s="15"/>
      <c r="S177" s="15"/>
      <c r="T177" s="15"/>
      <c r="U177" s="15"/>
      <c r="V177" s="15"/>
    </row>
    <row r="178">
      <c r="A178" s="16" t="s">
        <v>948</v>
      </c>
      <c r="B178" s="7" t="s">
        <v>920</v>
      </c>
      <c r="C178" s="2" t="s">
        <v>21</v>
      </c>
      <c r="D178" s="2">
        <v>7.0</v>
      </c>
      <c r="E178" s="2">
        <v>1.0</v>
      </c>
      <c r="F178" s="9" t="s">
        <v>951</v>
      </c>
      <c r="G178" s="10" t="s">
        <v>952</v>
      </c>
      <c r="H178" s="2" t="s">
        <v>953</v>
      </c>
      <c r="I178" s="13" t="s">
        <v>924</v>
      </c>
      <c r="J178" s="14">
        <v>43751.0</v>
      </c>
      <c r="K178" s="11" t="s">
        <v>30</v>
      </c>
      <c r="L178" s="9">
        <v>1.0</v>
      </c>
      <c r="M178" s="2" t="s">
        <v>954</v>
      </c>
      <c r="N178" s="15"/>
      <c r="O178" s="15"/>
      <c r="P178" s="15"/>
      <c r="Q178" s="15"/>
      <c r="R178" s="15"/>
      <c r="S178" s="15"/>
      <c r="T178" s="15"/>
      <c r="U178" s="15"/>
      <c r="V178" s="15"/>
    </row>
    <row r="179">
      <c r="A179" s="16" t="s">
        <v>955</v>
      </c>
      <c r="B179" s="7" t="s">
        <v>957</v>
      </c>
      <c r="C179" s="2" t="s">
        <v>21</v>
      </c>
      <c r="D179" s="2">
        <v>7.0</v>
      </c>
      <c r="E179" s="2">
        <v>2.0</v>
      </c>
      <c r="F179" s="9" t="s">
        <v>958</v>
      </c>
      <c r="G179" s="10" t="s">
        <v>959</v>
      </c>
      <c r="H179" s="2" t="s">
        <v>960</v>
      </c>
      <c r="I179" s="13" t="s">
        <v>961</v>
      </c>
      <c r="J179" s="14">
        <v>43758.0</v>
      </c>
      <c r="K179" s="11" t="s">
        <v>30</v>
      </c>
      <c r="L179" s="9"/>
      <c r="M179" s="2" t="s">
        <v>965</v>
      </c>
      <c r="N179" s="15"/>
      <c r="O179" s="15"/>
      <c r="P179" s="15"/>
      <c r="Q179" s="15"/>
      <c r="R179" s="15"/>
      <c r="S179" s="15"/>
      <c r="T179" s="15"/>
      <c r="U179" s="15"/>
      <c r="V179" s="15"/>
    </row>
    <row r="180">
      <c r="A180" s="16" t="s">
        <v>966</v>
      </c>
      <c r="B180" s="7" t="s">
        <v>957</v>
      </c>
      <c r="C180" s="2" t="s">
        <v>645</v>
      </c>
      <c r="D180" s="2">
        <v>7.0</v>
      </c>
      <c r="E180" s="2">
        <v>2.0</v>
      </c>
      <c r="F180" s="9" t="s">
        <v>968</v>
      </c>
      <c r="G180" s="10" t="s">
        <v>969</v>
      </c>
      <c r="H180" s="2" t="s">
        <v>970</v>
      </c>
      <c r="I180" s="13" t="s">
        <v>961</v>
      </c>
      <c r="J180" s="14">
        <v>43758.0</v>
      </c>
      <c r="K180" s="2" t="s">
        <v>37</v>
      </c>
      <c r="L180" s="9">
        <v>4.0</v>
      </c>
      <c r="M180" s="2" t="s">
        <v>971</v>
      </c>
      <c r="N180" s="15"/>
      <c r="O180" s="15"/>
      <c r="P180" s="15"/>
      <c r="Q180" s="15"/>
      <c r="R180" s="15"/>
      <c r="S180" s="15"/>
      <c r="T180" s="15"/>
      <c r="U180" s="15"/>
      <c r="V180" s="15"/>
    </row>
    <row r="181">
      <c r="A181" s="16" t="s">
        <v>972</v>
      </c>
      <c r="B181" s="7" t="s">
        <v>957</v>
      </c>
      <c r="C181" s="2" t="s">
        <v>33</v>
      </c>
      <c r="D181" s="2">
        <v>7.0</v>
      </c>
      <c r="E181" s="2">
        <v>2.0</v>
      </c>
      <c r="F181" s="9" t="s">
        <v>974</v>
      </c>
      <c r="G181" s="10" t="s">
        <v>975</v>
      </c>
      <c r="H181" s="2" t="s">
        <v>976</v>
      </c>
      <c r="I181" s="13" t="s">
        <v>961</v>
      </c>
      <c r="J181" s="14">
        <v>43758.0</v>
      </c>
      <c r="K181" s="11" t="s">
        <v>30</v>
      </c>
      <c r="L181" s="9">
        <v>4.0</v>
      </c>
      <c r="M181" s="2" t="s">
        <v>978</v>
      </c>
      <c r="N181" s="2"/>
      <c r="O181" s="2"/>
      <c r="P181" s="2"/>
      <c r="Q181" s="2"/>
      <c r="R181" s="2"/>
      <c r="S181" s="2"/>
      <c r="T181" s="2"/>
      <c r="U181" s="2"/>
      <c r="V181" s="2"/>
    </row>
    <row r="182">
      <c r="A182" s="16" t="s">
        <v>979</v>
      </c>
      <c r="B182" s="7" t="s">
        <v>957</v>
      </c>
      <c r="C182" s="2" t="s">
        <v>41</v>
      </c>
      <c r="D182" s="2">
        <v>7.0</v>
      </c>
      <c r="E182" s="2">
        <v>2.0</v>
      </c>
      <c r="F182" s="9" t="s">
        <v>981</v>
      </c>
      <c r="G182" s="10" t="s">
        <v>982</v>
      </c>
      <c r="H182" s="2" t="s">
        <v>983</v>
      </c>
      <c r="I182" s="13" t="s">
        <v>961</v>
      </c>
      <c r="J182" s="14">
        <v>43758.0</v>
      </c>
      <c r="K182" s="11" t="s">
        <v>30</v>
      </c>
      <c r="L182" s="9">
        <v>1.0</v>
      </c>
      <c r="M182" s="2" t="s">
        <v>984</v>
      </c>
      <c r="N182" s="2"/>
      <c r="O182" s="2"/>
      <c r="P182" s="2"/>
      <c r="Q182" s="2"/>
      <c r="R182" s="2"/>
      <c r="S182" s="2"/>
      <c r="T182" s="2"/>
      <c r="U182" s="2"/>
      <c r="V182" s="2"/>
    </row>
    <row r="183">
      <c r="A183" s="16" t="s">
        <v>985</v>
      </c>
      <c r="B183" s="7" t="s">
        <v>987</v>
      </c>
      <c r="C183" s="2" t="s">
        <v>645</v>
      </c>
      <c r="D183" s="2">
        <v>7.0</v>
      </c>
      <c r="E183" s="2">
        <v>3.0</v>
      </c>
      <c r="F183" s="2" t="s">
        <v>988</v>
      </c>
      <c r="G183" s="10" t="s">
        <v>989</v>
      </c>
      <c r="H183" s="2" t="s">
        <v>990</v>
      </c>
      <c r="I183" s="13" t="s">
        <v>991</v>
      </c>
      <c r="J183" s="14">
        <v>43765.0</v>
      </c>
      <c r="K183" s="11" t="s">
        <v>30</v>
      </c>
      <c r="L183" s="9">
        <v>4.0</v>
      </c>
      <c r="M183" s="15"/>
      <c r="N183" s="15"/>
      <c r="O183" s="15"/>
      <c r="P183" s="15"/>
      <c r="Q183" s="15"/>
      <c r="R183" s="15"/>
      <c r="S183" s="15"/>
      <c r="T183" s="15"/>
      <c r="U183" s="15"/>
      <c r="V183" s="15"/>
    </row>
    <row r="184">
      <c r="A184" s="33" t="s">
        <v>994</v>
      </c>
      <c r="B184" s="7" t="s">
        <v>987</v>
      </c>
      <c r="C184" s="2" t="s">
        <v>645</v>
      </c>
      <c r="D184" s="2">
        <v>7.0</v>
      </c>
      <c r="E184" s="2">
        <v>3.0</v>
      </c>
      <c r="F184" s="9" t="s">
        <v>995</v>
      </c>
      <c r="G184" s="10" t="s">
        <v>996</v>
      </c>
      <c r="H184" s="2" t="s">
        <v>998</v>
      </c>
      <c r="I184" s="13" t="s">
        <v>991</v>
      </c>
      <c r="J184" s="14">
        <v>43765.0</v>
      </c>
      <c r="K184" s="11" t="s">
        <v>30</v>
      </c>
      <c r="L184" s="9">
        <v>4.0</v>
      </c>
      <c r="M184" s="2" t="s">
        <v>999</v>
      </c>
      <c r="N184" s="2"/>
      <c r="O184" s="2"/>
      <c r="P184" s="2"/>
      <c r="Q184" s="2"/>
      <c r="R184" s="2"/>
      <c r="S184" s="2"/>
      <c r="T184" s="2"/>
      <c r="U184" s="2"/>
      <c r="V184" s="2"/>
    </row>
    <row r="185">
      <c r="A185" s="16" t="s">
        <v>1000</v>
      </c>
      <c r="B185" s="7" t="s">
        <v>987</v>
      </c>
      <c r="C185" s="2" t="s">
        <v>41</v>
      </c>
      <c r="D185" s="2">
        <v>7.0</v>
      </c>
      <c r="E185" s="2">
        <v>3.0</v>
      </c>
      <c r="F185" s="9" t="s">
        <v>1002</v>
      </c>
      <c r="G185" s="10" t="s">
        <v>1003</v>
      </c>
      <c r="H185" s="2" t="s">
        <v>1004</v>
      </c>
      <c r="I185" s="13" t="s">
        <v>991</v>
      </c>
      <c r="J185" s="14">
        <v>43765.0</v>
      </c>
      <c r="K185" s="11" t="s">
        <v>30</v>
      </c>
      <c r="L185" s="9">
        <v>1.0</v>
      </c>
      <c r="M185" s="15"/>
      <c r="N185" s="15"/>
      <c r="O185" s="15"/>
      <c r="P185" s="15"/>
      <c r="Q185" s="15"/>
      <c r="R185" s="15"/>
      <c r="S185" s="15"/>
      <c r="T185" s="15"/>
      <c r="U185" s="15"/>
      <c r="V185" s="15"/>
    </row>
    <row r="186">
      <c r="A186" s="16" t="s">
        <v>1005</v>
      </c>
      <c r="B186" s="7" t="s">
        <v>987</v>
      </c>
      <c r="C186" s="2" t="s">
        <v>33</v>
      </c>
      <c r="D186" s="2">
        <v>7.0</v>
      </c>
      <c r="E186" s="2">
        <v>3.0</v>
      </c>
      <c r="F186" s="9" t="s">
        <v>1007</v>
      </c>
      <c r="G186" s="10" t="s">
        <v>1008</v>
      </c>
      <c r="H186" s="2" t="s">
        <v>1009</v>
      </c>
      <c r="I186" s="13" t="s">
        <v>991</v>
      </c>
      <c r="J186" s="14">
        <v>43765.0</v>
      </c>
      <c r="K186" s="11" t="s">
        <v>30</v>
      </c>
      <c r="L186" s="9">
        <v>1.0</v>
      </c>
      <c r="M186" s="2" t="s">
        <v>1010</v>
      </c>
      <c r="N186" s="15"/>
      <c r="O186" s="15"/>
      <c r="P186" s="15"/>
      <c r="Q186" s="15"/>
      <c r="R186" s="15"/>
      <c r="S186" s="15"/>
      <c r="T186" s="15"/>
      <c r="U186" s="15"/>
      <c r="V186" s="15"/>
    </row>
    <row r="187">
      <c r="A187" s="16" t="s">
        <v>1011</v>
      </c>
      <c r="B187" s="7" t="s">
        <v>987</v>
      </c>
      <c r="C187" s="2" t="s">
        <v>645</v>
      </c>
      <c r="D187" s="2">
        <v>7.0</v>
      </c>
      <c r="E187" s="2">
        <v>3.0</v>
      </c>
      <c r="F187" s="9" t="s">
        <v>1015</v>
      </c>
      <c r="G187" s="10" t="s">
        <v>1016</v>
      </c>
      <c r="H187" s="2" t="s">
        <v>1017</v>
      </c>
      <c r="I187" s="13" t="s">
        <v>991</v>
      </c>
      <c r="J187" s="14">
        <v>43765.0</v>
      </c>
      <c r="K187" s="11" t="s">
        <v>30</v>
      </c>
      <c r="L187" s="9">
        <v>4.0</v>
      </c>
      <c r="M187" s="2" t="s">
        <v>1018</v>
      </c>
      <c r="N187" s="15"/>
      <c r="O187" s="15"/>
      <c r="P187" s="15"/>
      <c r="Q187" s="15"/>
      <c r="R187" s="15"/>
      <c r="S187" s="15"/>
      <c r="T187" s="15"/>
      <c r="U187" s="15"/>
      <c r="V187" s="15"/>
    </row>
    <row r="188">
      <c r="A188" s="16" t="s">
        <v>1019</v>
      </c>
      <c r="B188" s="7" t="s">
        <v>1021</v>
      </c>
      <c r="C188" s="2" t="s">
        <v>21</v>
      </c>
      <c r="D188" s="2">
        <v>7.0</v>
      </c>
      <c r="E188" s="2">
        <v>4.0</v>
      </c>
      <c r="F188" s="9" t="s">
        <v>1023</v>
      </c>
      <c r="G188" s="10" t="s">
        <v>1024</v>
      </c>
      <c r="H188" s="2" t="s">
        <v>1025</v>
      </c>
      <c r="I188" s="13" t="s">
        <v>1026</v>
      </c>
      <c r="J188" s="14">
        <v>43807.0</v>
      </c>
      <c r="K188" s="2" t="s">
        <v>37</v>
      </c>
      <c r="L188" s="9"/>
      <c r="M188" s="2" t="s">
        <v>1028</v>
      </c>
      <c r="N188" s="2"/>
      <c r="O188" s="2"/>
      <c r="P188" s="2"/>
      <c r="Q188" s="2"/>
      <c r="R188" s="2"/>
      <c r="S188" s="2"/>
      <c r="T188" s="2"/>
      <c r="U188" s="2"/>
      <c r="V188" s="2"/>
    </row>
    <row r="189">
      <c r="A189" s="16" t="s">
        <v>1029</v>
      </c>
      <c r="B189" s="7" t="s">
        <v>1021</v>
      </c>
      <c r="C189" s="2" t="s">
        <v>41</v>
      </c>
      <c r="D189" s="2">
        <v>7.0</v>
      </c>
      <c r="E189" s="2">
        <v>4.0</v>
      </c>
      <c r="F189" s="9" t="s">
        <v>1031</v>
      </c>
      <c r="G189" s="10" t="s">
        <v>1032</v>
      </c>
      <c r="H189" s="2" t="s">
        <v>1033</v>
      </c>
      <c r="I189" s="13" t="s">
        <v>1026</v>
      </c>
      <c r="J189" s="14">
        <v>43807.0</v>
      </c>
      <c r="K189" s="11" t="s">
        <v>30</v>
      </c>
      <c r="L189" s="9"/>
      <c r="M189" s="2" t="s">
        <v>1034</v>
      </c>
      <c r="N189" s="15"/>
      <c r="O189" s="15"/>
      <c r="P189" s="15"/>
      <c r="Q189" s="15"/>
      <c r="R189" s="15"/>
      <c r="S189" s="15"/>
      <c r="T189" s="15"/>
      <c r="U189" s="15"/>
      <c r="V189" s="15"/>
    </row>
    <row r="190">
      <c r="A190" s="16" t="s">
        <v>1035</v>
      </c>
      <c r="B190" s="7" t="s">
        <v>1021</v>
      </c>
      <c r="C190" s="2" t="s">
        <v>33</v>
      </c>
      <c r="D190" s="2">
        <v>7.0</v>
      </c>
      <c r="E190" s="2">
        <v>4.0</v>
      </c>
      <c r="F190" s="9" t="s">
        <v>1036</v>
      </c>
      <c r="G190" s="10" t="s">
        <v>1037</v>
      </c>
      <c r="H190" s="2" t="s">
        <v>1038</v>
      </c>
      <c r="I190" s="13" t="s">
        <v>1026</v>
      </c>
      <c r="J190" s="14">
        <v>43807.0</v>
      </c>
      <c r="K190" s="2" t="s">
        <v>37</v>
      </c>
      <c r="L190" s="9"/>
      <c r="M190" s="2" t="s">
        <v>1039</v>
      </c>
      <c r="N190" s="15"/>
      <c r="O190" s="15"/>
      <c r="P190" s="15"/>
      <c r="Q190" s="15"/>
      <c r="R190" s="15"/>
      <c r="S190" s="15"/>
      <c r="T190" s="15"/>
      <c r="U190" s="15"/>
      <c r="V190" s="15"/>
    </row>
    <row r="191">
      <c r="A191" s="16" t="s">
        <v>1040</v>
      </c>
      <c r="B191" s="7" t="s">
        <v>1021</v>
      </c>
      <c r="C191" s="2" t="s">
        <v>645</v>
      </c>
      <c r="D191" s="2">
        <v>7.0</v>
      </c>
      <c r="E191" s="2">
        <v>4.0</v>
      </c>
      <c r="F191" s="9" t="s">
        <v>1042</v>
      </c>
      <c r="G191" s="10" t="s">
        <v>1043</v>
      </c>
      <c r="H191" s="2" t="s">
        <v>1044</v>
      </c>
      <c r="I191" s="13" t="s">
        <v>1026</v>
      </c>
      <c r="J191" s="14">
        <v>43807.0</v>
      </c>
      <c r="K191" s="11" t="s">
        <v>30</v>
      </c>
      <c r="L191" s="9"/>
      <c r="M191" s="2" t="s">
        <v>1046</v>
      </c>
      <c r="N191" s="15"/>
      <c r="O191" s="15"/>
      <c r="P191" s="15"/>
      <c r="Q191" s="15"/>
      <c r="R191" s="15"/>
      <c r="S191" s="15"/>
      <c r="T191" s="15"/>
      <c r="U191" s="15"/>
      <c r="V191" s="15"/>
    </row>
    <row r="192">
      <c r="A192" s="16" t="s">
        <v>1047</v>
      </c>
      <c r="B192" s="7" t="s">
        <v>1049</v>
      </c>
      <c r="C192" s="2" t="s">
        <v>645</v>
      </c>
      <c r="D192" s="2">
        <v>7.0</v>
      </c>
      <c r="E192" s="2">
        <v>5.0</v>
      </c>
      <c r="F192" s="9" t="s">
        <v>1050</v>
      </c>
      <c r="G192" s="10" t="s">
        <v>1051</v>
      </c>
      <c r="H192" s="2" t="s">
        <v>1052</v>
      </c>
      <c r="I192" s="13" t="s">
        <v>1053</v>
      </c>
      <c r="J192" s="14">
        <v>43814.0</v>
      </c>
      <c r="K192" s="11" t="s">
        <v>30</v>
      </c>
      <c r="L192" s="9"/>
      <c r="M192" s="15"/>
      <c r="N192" s="15"/>
      <c r="O192" s="15"/>
      <c r="P192" s="15"/>
      <c r="Q192" s="15"/>
      <c r="R192" s="15"/>
      <c r="S192" s="15"/>
      <c r="T192" s="15"/>
      <c r="U192" s="15"/>
      <c r="V192" s="15"/>
    </row>
    <row r="193">
      <c r="A193" s="16" t="s">
        <v>1056</v>
      </c>
      <c r="B193" s="7" t="s">
        <v>1049</v>
      </c>
      <c r="C193" s="2" t="s">
        <v>33</v>
      </c>
      <c r="D193" s="2">
        <v>7.0</v>
      </c>
      <c r="E193" s="2">
        <v>5.0</v>
      </c>
      <c r="F193" s="2" t="s">
        <v>1057</v>
      </c>
      <c r="G193" s="10" t="s">
        <v>1058</v>
      </c>
      <c r="H193" s="2" t="s">
        <v>1059</v>
      </c>
      <c r="I193" s="13" t="s">
        <v>1053</v>
      </c>
      <c r="J193" s="14">
        <v>43814.0</v>
      </c>
      <c r="K193" s="11" t="s">
        <v>30</v>
      </c>
      <c r="L193" s="9">
        <v>1.0</v>
      </c>
      <c r="M193" s="2" t="s">
        <v>1060</v>
      </c>
      <c r="N193" s="15"/>
      <c r="O193" s="15"/>
      <c r="P193" s="15"/>
      <c r="Q193" s="15"/>
      <c r="R193" s="15"/>
      <c r="S193" s="15"/>
      <c r="T193" s="15"/>
      <c r="U193" s="15"/>
      <c r="V193" s="15"/>
    </row>
    <row r="194">
      <c r="A194" s="16" t="s">
        <v>1061</v>
      </c>
      <c r="B194" s="7" t="s">
        <v>1049</v>
      </c>
      <c r="C194" s="2" t="s">
        <v>21</v>
      </c>
      <c r="D194" s="2">
        <v>7.0</v>
      </c>
      <c r="E194" s="2">
        <v>5.0</v>
      </c>
      <c r="F194" s="9" t="s">
        <v>1064</v>
      </c>
      <c r="G194" s="10" t="s">
        <v>1065</v>
      </c>
      <c r="H194" s="2" t="s">
        <v>1066</v>
      </c>
      <c r="I194" s="13" t="s">
        <v>1053</v>
      </c>
      <c r="J194" s="14">
        <v>43814.0</v>
      </c>
      <c r="K194" s="11" t="s">
        <v>30</v>
      </c>
      <c r="L194" s="9">
        <v>2.0</v>
      </c>
      <c r="M194" s="2" t="s">
        <v>1067</v>
      </c>
      <c r="N194" s="15"/>
      <c r="O194" s="15"/>
      <c r="P194" s="15"/>
      <c r="Q194" s="15"/>
      <c r="R194" s="15"/>
      <c r="S194" s="15"/>
      <c r="T194" s="15"/>
      <c r="U194" s="15"/>
      <c r="V194" s="15"/>
    </row>
    <row r="195">
      <c r="A195" s="16" t="s">
        <v>1068</v>
      </c>
      <c r="B195" s="7" t="s">
        <v>1049</v>
      </c>
      <c r="C195" s="2" t="s">
        <v>41</v>
      </c>
      <c r="D195" s="2">
        <v>7.0</v>
      </c>
      <c r="E195" s="2">
        <v>5.0</v>
      </c>
      <c r="F195" s="9" t="s">
        <v>1070</v>
      </c>
      <c r="G195" s="10" t="s">
        <v>1071</v>
      </c>
      <c r="H195" s="2" t="s">
        <v>1072</v>
      </c>
      <c r="I195" s="13" t="s">
        <v>1053</v>
      </c>
      <c r="J195" s="14">
        <v>43814.0</v>
      </c>
      <c r="K195" s="11" t="s">
        <v>30</v>
      </c>
      <c r="L195" s="9">
        <v>1.0</v>
      </c>
      <c r="M195" s="2" t="s">
        <v>1073</v>
      </c>
      <c r="N195" s="15"/>
      <c r="O195" s="15"/>
      <c r="P195" s="15"/>
      <c r="Q195" s="15"/>
      <c r="R195" s="15"/>
      <c r="S195" s="15"/>
      <c r="T195" s="15"/>
      <c r="U195" s="15"/>
      <c r="V195" s="15"/>
    </row>
    <row r="196">
      <c r="A196" s="16" t="s">
        <v>1074</v>
      </c>
      <c r="B196" s="7" t="s">
        <v>1076</v>
      </c>
      <c r="C196" s="2" t="s">
        <v>645</v>
      </c>
      <c r="D196" s="2">
        <v>7.0</v>
      </c>
      <c r="E196" s="2">
        <v>6.0</v>
      </c>
      <c r="F196" s="9" t="s">
        <v>1077</v>
      </c>
      <c r="G196" s="10" t="s">
        <v>1078</v>
      </c>
      <c r="H196" s="2" t="s">
        <v>1079</v>
      </c>
      <c r="I196" s="13" t="s">
        <v>1080</v>
      </c>
      <c r="J196" s="14">
        <v>43821.0</v>
      </c>
      <c r="K196" s="11" t="s">
        <v>30</v>
      </c>
      <c r="L196" s="9"/>
      <c r="M196" s="15"/>
      <c r="N196" s="2"/>
      <c r="O196" s="2"/>
      <c r="P196" s="2"/>
      <c r="Q196" s="2"/>
      <c r="R196" s="2"/>
      <c r="S196" s="2"/>
      <c r="T196" s="2"/>
      <c r="U196" s="2"/>
      <c r="V196" s="2"/>
    </row>
    <row r="197">
      <c r="A197" s="16" t="s">
        <v>1082</v>
      </c>
      <c r="B197" s="7" t="s">
        <v>1076</v>
      </c>
      <c r="C197" s="2" t="s">
        <v>21</v>
      </c>
      <c r="D197" s="2">
        <v>7.0</v>
      </c>
      <c r="E197" s="2">
        <v>6.0</v>
      </c>
      <c r="F197" s="9" t="s">
        <v>1084</v>
      </c>
      <c r="G197" s="10" t="s">
        <v>1085</v>
      </c>
      <c r="H197" s="2" t="s">
        <v>1086</v>
      </c>
      <c r="I197" s="13" t="s">
        <v>1080</v>
      </c>
      <c r="J197" s="14">
        <v>43821.0</v>
      </c>
      <c r="K197" s="11" t="s">
        <v>30</v>
      </c>
      <c r="L197" s="9">
        <v>2.0</v>
      </c>
      <c r="M197" s="2" t="s">
        <v>1087</v>
      </c>
      <c r="N197" s="2"/>
      <c r="O197" s="2"/>
      <c r="P197" s="2"/>
      <c r="Q197" s="2"/>
      <c r="R197" s="2"/>
      <c r="S197" s="2"/>
      <c r="T197" s="2"/>
      <c r="U197" s="2"/>
      <c r="V197" s="2"/>
    </row>
    <row r="198">
      <c r="A198" s="16" t="s">
        <v>1089</v>
      </c>
      <c r="B198" s="7" t="s">
        <v>1076</v>
      </c>
      <c r="C198" s="2" t="s">
        <v>33</v>
      </c>
      <c r="D198" s="2">
        <v>7.0</v>
      </c>
      <c r="E198" s="2">
        <v>6.0</v>
      </c>
      <c r="F198" s="9" t="s">
        <v>1092</v>
      </c>
      <c r="G198" s="10" t="s">
        <v>1093</v>
      </c>
      <c r="H198" s="2" t="s">
        <v>1094</v>
      </c>
      <c r="I198" s="13" t="s">
        <v>1080</v>
      </c>
      <c r="J198" s="14">
        <v>43821.0</v>
      </c>
      <c r="K198" s="11" t="s">
        <v>30</v>
      </c>
      <c r="L198" s="9"/>
      <c r="M198" s="2" t="s">
        <v>1095</v>
      </c>
      <c r="N198" s="2"/>
      <c r="O198" s="2"/>
      <c r="P198" s="2"/>
      <c r="Q198" s="2"/>
      <c r="R198" s="2"/>
      <c r="S198" s="2"/>
      <c r="T198" s="2"/>
      <c r="U198" s="2"/>
      <c r="V198" s="2"/>
    </row>
    <row r="199">
      <c r="A199" s="16" t="s">
        <v>1096</v>
      </c>
      <c r="B199" s="7" t="s">
        <v>1076</v>
      </c>
      <c r="C199" s="2" t="s">
        <v>41</v>
      </c>
      <c r="D199" s="2">
        <v>7.0</v>
      </c>
      <c r="E199" s="2">
        <v>6.0</v>
      </c>
      <c r="F199" s="9" t="s">
        <v>1098</v>
      </c>
      <c r="G199" s="10" t="s">
        <v>1099</v>
      </c>
      <c r="H199" s="2" t="s">
        <v>1100</v>
      </c>
      <c r="I199" s="13" t="s">
        <v>1080</v>
      </c>
      <c r="J199" s="14">
        <v>43821.0</v>
      </c>
      <c r="K199" s="11" t="s">
        <v>30</v>
      </c>
      <c r="L199" s="9">
        <v>1.0</v>
      </c>
      <c r="M199" s="15"/>
      <c r="N199" s="2"/>
      <c r="O199" s="2"/>
      <c r="P199" s="2"/>
      <c r="Q199" s="2"/>
      <c r="R199" s="2"/>
      <c r="S199" s="2"/>
      <c r="T199" s="2"/>
      <c r="U199" s="2"/>
      <c r="V199" s="2"/>
    </row>
    <row r="200">
      <c r="A200" s="16" t="s">
        <v>1101</v>
      </c>
      <c r="B200" s="7" t="s">
        <v>1103</v>
      </c>
      <c r="C200" s="2" t="s">
        <v>41</v>
      </c>
      <c r="D200" s="2" t="s">
        <v>1104</v>
      </c>
      <c r="E200" s="2">
        <v>1.0</v>
      </c>
      <c r="F200" s="9" t="s">
        <v>1105</v>
      </c>
      <c r="G200" s="10" t="s">
        <v>1106</v>
      </c>
      <c r="H200" s="2" t="s">
        <v>1107</v>
      </c>
      <c r="I200" s="13" t="s">
        <v>1108</v>
      </c>
      <c r="J200" s="14">
        <v>43968.0</v>
      </c>
      <c r="K200" s="11" t="s">
        <v>30</v>
      </c>
      <c r="L200" s="9"/>
      <c r="M200" s="2" t="s">
        <v>1110</v>
      </c>
      <c r="N200" s="15"/>
      <c r="O200" s="15"/>
      <c r="P200" s="15"/>
      <c r="Q200" s="15"/>
      <c r="R200" s="15"/>
      <c r="S200" s="15"/>
      <c r="T200" s="15"/>
      <c r="U200" s="15"/>
      <c r="V200" s="15"/>
    </row>
    <row r="201">
      <c r="A201" s="16" t="s">
        <v>1112</v>
      </c>
      <c r="B201" s="22" t="s">
        <v>1114</v>
      </c>
      <c r="C201" s="2" t="s">
        <v>21</v>
      </c>
      <c r="D201" s="2">
        <v>8.0</v>
      </c>
      <c r="E201" s="22">
        <v>1.0</v>
      </c>
      <c r="F201" s="9" t="s">
        <v>1115</v>
      </c>
      <c r="G201" s="10" t="s">
        <v>1117</v>
      </c>
      <c r="H201" s="2" t="s">
        <v>1118</v>
      </c>
      <c r="I201" s="16" t="s">
        <v>1119</v>
      </c>
      <c r="J201" s="32">
        <v>44059.0</v>
      </c>
      <c r="K201" s="11" t="s">
        <v>30</v>
      </c>
      <c r="L201" s="9">
        <v>1.0</v>
      </c>
      <c r="M201" s="2" t="s">
        <v>1122</v>
      </c>
      <c r="N201" s="2"/>
      <c r="O201" s="2"/>
      <c r="P201" s="2"/>
      <c r="Q201" s="2"/>
      <c r="R201" s="2"/>
      <c r="S201" s="2"/>
      <c r="T201" s="2"/>
      <c r="U201" s="2"/>
      <c r="V201" s="2"/>
    </row>
    <row r="202">
      <c r="A202" s="16" t="s">
        <v>1123</v>
      </c>
      <c r="B202" s="22" t="s">
        <v>1114</v>
      </c>
      <c r="C202" s="2" t="s">
        <v>33</v>
      </c>
      <c r="D202" s="2">
        <v>8.0</v>
      </c>
      <c r="E202" s="22">
        <v>1.0</v>
      </c>
      <c r="F202" s="9" t="s">
        <v>1126</v>
      </c>
      <c r="G202" s="10" t="s">
        <v>1127</v>
      </c>
      <c r="H202" s="2" t="s">
        <v>1128</v>
      </c>
      <c r="I202" s="16" t="s">
        <v>1119</v>
      </c>
      <c r="J202" s="32">
        <v>44059.0</v>
      </c>
      <c r="K202" s="11" t="s">
        <v>30</v>
      </c>
      <c r="L202" s="9">
        <v>2.0</v>
      </c>
      <c r="M202" s="15"/>
      <c r="N202" s="2"/>
      <c r="O202" s="2"/>
      <c r="P202" s="2"/>
      <c r="Q202" s="2"/>
      <c r="R202" s="2"/>
      <c r="S202" s="2"/>
      <c r="T202" s="2"/>
      <c r="U202" s="2"/>
      <c r="V202" s="2"/>
    </row>
    <row r="203">
      <c r="A203" s="16" t="s">
        <v>1129</v>
      </c>
      <c r="B203" s="22" t="s">
        <v>1114</v>
      </c>
      <c r="C203" s="2" t="s">
        <v>41</v>
      </c>
      <c r="D203" s="2">
        <v>8.0</v>
      </c>
      <c r="E203" s="22">
        <v>1.0</v>
      </c>
      <c r="F203" s="9" t="s">
        <v>1131</v>
      </c>
      <c r="G203" s="10" t="s">
        <v>1132</v>
      </c>
      <c r="H203" s="2" t="s">
        <v>1133</v>
      </c>
      <c r="I203" s="16" t="s">
        <v>1119</v>
      </c>
      <c r="J203" s="32">
        <v>44059.0</v>
      </c>
      <c r="K203" s="11" t="s">
        <v>30</v>
      </c>
      <c r="L203" s="9"/>
      <c r="M203" s="2" t="s">
        <v>1134</v>
      </c>
      <c r="N203" s="15"/>
      <c r="O203" s="15"/>
      <c r="P203" s="15"/>
      <c r="Q203" s="15"/>
      <c r="R203" s="15"/>
      <c r="S203" s="15"/>
      <c r="T203" s="15"/>
      <c r="U203" s="15"/>
      <c r="V203" s="15"/>
    </row>
    <row r="204">
      <c r="A204" s="16" t="s">
        <v>1135</v>
      </c>
      <c r="B204" s="22" t="s">
        <v>1136</v>
      </c>
      <c r="C204" s="2" t="s">
        <v>41</v>
      </c>
      <c r="D204" s="2">
        <v>8.0</v>
      </c>
      <c r="E204" s="22">
        <v>2.0</v>
      </c>
      <c r="F204" s="2" t="s">
        <v>1137</v>
      </c>
      <c r="G204" s="10" t="s">
        <v>1138</v>
      </c>
      <c r="H204" s="2" t="s">
        <v>1139</v>
      </c>
      <c r="I204" s="31" t="s">
        <v>1140</v>
      </c>
      <c r="J204" s="32">
        <v>44066.0</v>
      </c>
      <c r="K204" s="11" t="s">
        <v>30</v>
      </c>
      <c r="L204" s="9">
        <v>1.0</v>
      </c>
      <c r="M204" s="15"/>
      <c r="N204" s="15"/>
      <c r="O204" s="15"/>
      <c r="P204" s="15"/>
      <c r="Q204" s="15"/>
      <c r="R204" s="15"/>
      <c r="S204" s="15"/>
      <c r="T204" s="15"/>
      <c r="U204" s="15"/>
      <c r="V204" s="15"/>
    </row>
    <row r="205">
      <c r="A205" s="16" t="s">
        <v>1142</v>
      </c>
      <c r="B205" s="22" t="s">
        <v>1136</v>
      </c>
      <c r="C205" s="2" t="s">
        <v>33</v>
      </c>
      <c r="D205" s="2">
        <v>8.0</v>
      </c>
      <c r="E205" s="22">
        <v>2.0</v>
      </c>
      <c r="F205" s="2" t="s">
        <v>1144</v>
      </c>
      <c r="G205" s="10" t="s">
        <v>1145</v>
      </c>
      <c r="H205" s="2" t="s">
        <v>1146</v>
      </c>
      <c r="I205" s="31" t="s">
        <v>1140</v>
      </c>
      <c r="J205" s="32">
        <v>44066.0</v>
      </c>
      <c r="K205" s="11" t="s">
        <v>30</v>
      </c>
      <c r="L205" s="9"/>
      <c r="M205" s="15"/>
      <c r="N205" s="2"/>
      <c r="O205" s="2"/>
      <c r="P205" s="2"/>
      <c r="Q205" s="2"/>
      <c r="R205" s="2"/>
      <c r="S205" s="2"/>
      <c r="T205" s="2"/>
      <c r="U205" s="2"/>
      <c r="V205" s="2"/>
    </row>
    <row r="206">
      <c r="A206" s="16" t="s">
        <v>1147</v>
      </c>
      <c r="B206" s="22" t="s">
        <v>1136</v>
      </c>
      <c r="C206" s="2" t="s">
        <v>21</v>
      </c>
      <c r="D206" s="2">
        <v>8.0</v>
      </c>
      <c r="E206" s="22">
        <v>2.0</v>
      </c>
      <c r="F206" s="2" t="s">
        <v>1149</v>
      </c>
      <c r="G206" s="10" t="s">
        <v>1150</v>
      </c>
      <c r="H206" s="2" t="s">
        <v>1151</v>
      </c>
      <c r="I206" s="31" t="s">
        <v>1140</v>
      </c>
      <c r="J206" s="32">
        <v>44066.0</v>
      </c>
      <c r="K206" s="11" t="s">
        <v>30</v>
      </c>
      <c r="L206" s="9"/>
      <c r="M206" s="15"/>
      <c r="N206" s="15"/>
      <c r="O206" s="15"/>
      <c r="P206" s="15"/>
      <c r="Q206" s="15"/>
      <c r="R206" s="15"/>
      <c r="S206" s="15"/>
      <c r="T206" s="15"/>
      <c r="U206" s="15"/>
      <c r="V206" s="15"/>
    </row>
    <row r="207">
      <c r="A207" s="16" t="s">
        <v>1152</v>
      </c>
      <c r="B207" s="22" t="s">
        <v>1153</v>
      </c>
      <c r="C207" s="2" t="s">
        <v>41</v>
      </c>
      <c r="D207" s="2">
        <v>8.0</v>
      </c>
      <c r="E207" s="22">
        <v>3.0</v>
      </c>
      <c r="F207" s="9" t="s">
        <v>1154</v>
      </c>
      <c r="G207" s="10" t="s">
        <v>1155</v>
      </c>
      <c r="H207" s="2" t="s">
        <v>1156</v>
      </c>
      <c r="I207" s="31" t="s">
        <v>1157</v>
      </c>
      <c r="J207" s="32">
        <v>44073.0</v>
      </c>
      <c r="K207" s="11" t="s">
        <v>30</v>
      </c>
      <c r="L207" s="9"/>
      <c r="M207" s="2" t="s">
        <v>1159</v>
      </c>
      <c r="N207" s="15"/>
      <c r="O207" s="15"/>
      <c r="P207" s="15"/>
      <c r="Q207" s="15"/>
      <c r="R207" s="15"/>
      <c r="S207" s="15"/>
      <c r="T207" s="15"/>
      <c r="U207" s="15"/>
      <c r="V207" s="15"/>
    </row>
    <row r="208">
      <c r="A208" s="16" t="s">
        <v>1160</v>
      </c>
      <c r="B208" s="22" t="s">
        <v>1153</v>
      </c>
      <c r="C208" s="2" t="s">
        <v>33</v>
      </c>
      <c r="D208" s="2">
        <v>8.0</v>
      </c>
      <c r="E208" s="22">
        <v>3.0</v>
      </c>
      <c r="F208" s="2" t="s">
        <v>1162</v>
      </c>
      <c r="G208" s="10" t="s">
        <v>1163</v>
      </c>
      <c r="H208" s="2" t="s">
        <v>1164</v>
      </c>
      <c r="I208" s="31" t="s">
        <v>1157</v>
      </c>
      <c r="J208" s="32">
        <v>44073.0</v>
      </c>
      <c r="K208" s="11" t="s">
        <v>30</v>
      </c>
      <c r="L208" s="9"/>
      <c r="M208" s="15"/>
      <c r="N208" s="15"/>
      <c r="O208" s="15"/>
      <c r="P208" s="15"/>
      <c r="Q208" s="15"/>
      <c r="R208" s="15"/>
      <c r="S208" s="15"/>
      <c r="T208" s="15"/>
      <c r="U208" s="15"/>
      <c r="V208" s="15"/>
    </row>
    <row r="209">
      <c r="A209" s="16" t="s">
        <v>1166</v>
      </c>
      <c r="B209" s="22" t="s">
        <v>1153</v>
      </c>
      <c r="C209" s="2" t="s">
        <v>21</v>
      </c>
      <c r="D209" s="2">
        <v>8.0</v>
      </c>
      <c r="E209" s="22">
        <v>3.0</v>
      </c>
      <c r="F209" s="2" t="s">
        <v>1168</v>
      </c>
      <c r="G209" s="10" t="s">
        <v>1169</v>
      </c>
      <c r="H209" s="2" t="s">
        <v>1170</v>
      </c>
      <c r="I209" s="31" t="s">
        <v>1157</v>
      </c>
      <c r="J209" s="32">
        <v>44073.0</v>
      </c>
      <c r="K209" s="11" t="s">
        <v>30</v>
      </c>
      <c r="L209" s="9"/>
      <c r="M209" s="15"/>
      <c r="N209" s="15"/>
      <c r="O209" s="15"/>
      <c r="P209" s="15"/>
      <c r="Q209" s="15"/>
      <c r="R209" s="15"/>
      <c r="S209" s="15"/>
      <c r="T209" s="15"/>
      <c r="U209" s="15"/>
      <c r="V209" s="15"/>
    </row>
    <row r="210">
      <c r="A210" s="16" t="s">
        <v>1171</v>
      </c>
      <c r="B210" s="22" t="s">
        <v>1173</v>
      </c>
      <c r="C210" s="2" t="s">
        <v>645</v>
      </c>
      <c r="D210" s="2">
        <v>8.0</v>
      </c>
      <c r="E210" s="22">
        <v>4.0</v>
      </c>
      <c r="F210" s="9" t="s">
        <v>1174</v>
      </c>
      <c r="G210" s="10" t="s">
        <v>1175</v>
      </c>
      <c r="H210" s="2" t="s">
        <v>1176</v>
      </c>
      <c r="I210" s="31" t="s">
        <v>1177</v>
      </c>
      <c r="J210" s="32">
        <v>44080.0</v>
      </c>
      <c r="K210" s="11" t="s">
        <v>30</v>
      </c>
      <c r="L210" s="9"/>
      <c r="M210" s="15"/>
      <c r="N210" s="15"/>
      <c r="O210" s="15"/>
      <c r="P210" s="15"/>
      <c r="Q210" s="15"/>
      <c r="R210" s="15"/>
      <c r="S210" s="15"/>
      <c r="T210" s="15"/>
      <c r="U210" s="15"/>
      <c r="V210" s="15"/>
    </row>
    <row r="211">
      <c r="A211" s="16" t="s">
        <v>1181</v>
      </c>
      <c r="B211" s="22" t="s">
        <v>1173</v>
      </c>
      <c r="C211" s="2" t="s">
        <v>41</v>
      </c>
      <c r="D211" s="2">
        <v>8.0</v>
      </c>
      <c r="E211" s="22">
        <v>4.0</v>
      </c>
      <c r="F211" s="9" t="s">
        <v>1183</v>
      </c>
      <c r="G211" s="10" t="s">
        <v>1184</v>
      </c>
      <c r="H211" s="2" t="s">
        <v>1185</v>
      </c>
      <c r="I211" s="31" t="s">
        <v>1177</v>
      </c>
      <c r="J211" s="32">
        <v>44080.0</v>
      </c>
      <c r="K211" s="11" t="s">
        <v>30</v>
      </c>
      <c r="L211" s="9"/>
      <c r="M211" s="15"/>
      <c r="N211" s="15"/>
      <c r="O211" s="15"/>
      <c r="P211" s="15"/>
      <c r="Q211" s="15"/>
      <c r="R211" s="15"/>
      <c r="S211" s="15"/>
      <c r="T211" s="15"/>
      <c r="U211" s="15"/>
      <c r="V211" s="15"/>
    </row>
    <row r="212">
      <c r="A212" s="16" t="s">
        <v>1189</v>
      </c>
      <c r="B212" s="22" t="s">
        <v>1173</v>
      </c>
      <c r="C212" s="2" t="s">
        <v>33</v>
      </c>
      <c r="D212" s="2">
        <v>8.0</v>
      </c>
      <c r="E212" s="22">
        <v>4.0</v>
      </c>
      <c r="F212" s="9" t="s">
        <v>1191</v>
      </c>
      <c r="G212" s="10" t="s">
        <v>1192</v>
      </c>
      <c r="H212" s="2" t="s">
        <v>1193</v>
      </c>
      <c r="I212" s="31" t="s">
        <v>1177</v>
      </c>
      <c r="J212" s="32">
        <v>44080.0</v>
      </c>
      <c r="K212" s="11" t="s">
        <v>30</v>
      </c>
      <c r="L212" s="9"/>
      <c r="M212" s="2" t="s">
        <v>1194</v>
      </c>
      <c r="N212" s="2"/>
      <c r="O212" s="2"/>
      <c r="P212" s="2"/>
      <c r="Q212" s="2"/>
      <c r="R212" s="2"/>
      <c r="S212" s="2"/>
      <c r="T212" s="2"/>
      <c r="U212" s="2"/>
      <c r="V212" s="2"/>
    </row>
    <row r="213">
      <c r="A213" s="16" t="s">
        <v>1195</v>
      </c>
      <c r="B213" s="22" t="s">
        <v>1173</v>
      </c>
      <c r="C213" s="2" t="s">
        <v>21</v>
      </c>
      <c r="D213" s="2">
        <v>8.0</v>
      </c>
      <c r="E213" s="22">
        <v>4.0</v>
      </c>
      <c r="F213" s="9" t="s">
        <v>1197</v>
      </c>
      <c r="G213" s="10" t="s">
        <v>1198</v>
      </c>
      <c r="H213" s="2" t="s">
        <v>1199</v>
      </c>
      <c r="I213" s="31" t="s">
        <v>1177</v>
      </c>
      <c r="J213" s="32">
        <v>44080.0</v>
      </c>
      <c r="K213" s="11" t="s">
        <v>30</v>
      </c>
      <c r="L213" s="9"/>
      <c r="M213" s="2" t="s">
        <v>1200</v>
      </c>
      <c r="N213" s="15"/>
      <c r="O213" s="15"/>
      <c r="P213" s="15"/>
      <c r="Q213" s="15"/>
      <c r="R213" s="15"/>
      <c r="S213" s="15"/>
      <c r="T213" s="15"/>
      <c r="U213" s="15"/>
      <c r="V213" s="15"/>
    </row>
    <row r="214">
      <c r="A214" s="16" t="s">
        <v>1201</v>
      </c>
      <c r="B214" s="22" t="s">
        <v>1203</v>
      </c>
      <c r="C214" s="2" t="s">
        <v>33</v>
      </c>
      <c r="D214" s="2">
        <v>8.0</v>
      </c>
      <c r="E214" s="22">
        <v>5.0</v>
      </c>
      <c r="F214" s="9" t="s">
        <v>1204</v>
      </c>
      <c r="G214" s="10" t="s">
        <v>1205</v>
      </c>
      <c r="H214" s="2" t="s">
        <v>1206</v>
      </c>
      <c r="I214" s="16" t="s">
        <v>1207</v>
      </c>
      <c r="J214" s="32">
        <v>44087.0</v>
      </c>
      <c r="K214" s="11" t="s">
        <v>30</v>
      </c>
      <c r="L214" s="9"/>
      <c r="M214" s="15"/>
      <c r="N214" s="15"/>
      <c r="O214" s="15"/>
      <c r="P214" s="15"/>
      <c r="Q214" s="15"/>
      <c r="R214" s="15"/>
      <c r="S214" s="15"/>
      <c r="T214" s="15"/>
      <c r="U214" s="15"/>
      <c r="V214" s="15"/>
    </row>
    <row r="215">
      <c r="A215" s="16" t="s">
        <v>1209</v>
      </c>
      <c r="B215" s="22" t="s">
        <v>1203</v>
      </c>
      <c r="C215" s="2" t="s">
        <v>21</v>
      </c>
      <c r="D215" s="2">
        <v>8.0</v>
      </c>
      <c r="E215" s="22">
        <v>5.0</v>
      </c>
      <c r="F215" s="9" t="s">
        <v>1210</v>
      </c>
      <c r="G215" s="10" t="s">
        <v>1211</v>
      </c>
      <c r="H215" s="2" t="s">
        <v>1212</v>
      </c>
      <c r="I215" s="16" t="s">
        <v>1207</v>
      </c>
      <c r="J215" s="32">
        <v>44087.0</v>
      </c>
      <c r="K215" s="11" t="s">
        <v>30</v>
      </c>
      <c r="L215" s="9"/>
      <c r="M215" s="15"/>
      <c r="N215" s="15"/>
      <c r="O215" s="15"/>
      <c r="P215" s="15"/>
      <c r="Q215" s="15"/>
      <c r="R215" s="15"/>
      <c r="S215" s="15"/>
      <c r="T215" s="15"/>
      <c r="U215" s="15"/>
      <c r="V215" s="15"/>
    </row>
    <row r="216">
      <c r="A216" s="16" t="s">
        <v>1213</v>
      </c>
      <c r="B216" s="22" t="s">
        <v>1203</v>
      </c>
      <c r="C216" s="2" t="s">
        <v>41</v>
      </c>
      <c r="D216" s="2">
        <v>8.0</v>
      </c>
      <c r="E216" s="22">
        <v>5.0</v>
      </c>
      <c r="F216" s="9" t="s">
        <v>1215</v>
      </c>
      <c r="G216" s="10" t="s">
        <v>1216</v>
      </c>
      <c r="H216" s="2" t="s">
        <v>1217</v>
      </c>
      <c r="I216" s="16" t="s">
        <v>1207</v>
      </c>
      <c r="J216" s="32">
        <v>44087.0</v>
      </c>
      <c r="K216" s="2" t="s">
        <v>37</v>
      </c>
      <c r="L216" s="9"/>
      <c r="M216" s="2" t="s">
        <v>1218</v>
      </c>
      <c r="N216" s="15"/>
      <c r="O216" s="15"/>
      <c r="P216" s="15"/>
      <c r="Q216" s="15"/>
      <c r="R216" s="15"/>
      <c r="S216" s="15"/>
      <c r="T216" s="15"/>
      <c r="U216" s="15"/>
      <c r="V216" s="15"/>
    </row>
    <row r="217">
      <c r="A217" s="16" t="s">
        <v>1219</v>
      </c>
      <c r="B217" s="22" t="s">
        <v>1220</v>
      </c>
      <c r="C217" s="2" t="s">
        <v>992</v>
      </c>
      <c r="D217" s="2">
        <v>8.0</v>
      </c>
      <c r="E217" s="22">
        <v>6.0</v>
      </c>
      <c r="F217" s="9" t="s">
        <v>1222</v>
      </c>
      <c r="G217" s="10" t="s">
        <v>1223</v>
      </c>
      <c r="H217" s="2" t="s">
        <v>533</v>
      </c>
      <c r="I217" s="31" t="s">
        <v>1224</v>
      </c>
      <c r="J217" s="32">
        <v>44094.0</v>
      </c>
      <c r="K217" s="11" t="s">
        <v>30</v>
      </c>
      <c r="L217" s="9"/>
      <c r="M217" s="15"/>
      <c r="N217" s="15"/>
      <c r="O217" s="15"/>
      <c r="P217" s="15"/>
      <c r="Q217" s="15"/>
      <c r="R217" s="15"/>
      <c r="S217" s="15"/>
      <c r="T217" s="15"/>
      <c r="U217" s="15"/>
      <c r="V217" s="15"/>
    </row>
    <row r="218">
      <c r="A218" s="16" t="s">
        <v>1226</v>
      </c>
      <c r="B218" s="22" t="s">
        <v>1220</v>
      </c>
      <c r="C218" s="2" t="s">
        <v>992</v>
      </c>
      <c r="D218" s="2">
        <v>8.0</v>
      </c>
      <c r="E218" s="22">
        <v>6.0</v>
      </c>
      <c r="F218" s="9" t="s">
        <v>1228</v>
      </c>
      <c r="G218" s="10" t="s">
        <v>1229</v>
      </c>
      <c r="H218" s="2" t="s">
        <v>1230</v>
      </c>
      <c r="I218" s="31" t="s">
        <v>1224</v>
      </c>
      <c r="J218" s="32">
        <v>44094.0</v>
      </c>
      <c r="K218" s="11" t="s">
        <v>30</v>
      </c>
      <c r="L218" s="9"/>
      <c r="M218" s="15"/>
      <c r="N218" s="15"/>
      <c r="O218" s="15"/>
      <c r="P218" s="15"/>
      <c r="Q218" s="15"/>
      <c r="R218" s="15"/>
      <c r="S218" s="15"/>
      <c r="T218" s="15"/>
      <c r="U218" s="15"/>
      <c r="V218" s="15"/>
    </row>
    <row r="219">
      <c r="A219" s="33" t="s">
        <v>1231</v>
      </c>
      <c r="B219" s="38" t="s">
        <v>1235</v>
      </c>
      <c r="C219" s="2" t="s">
        <v>21</v>
      </c>
      <c r="D219" s="2" t="s">
        <v>1104</v>
      </c>
      <c r="E219" s="2">
        <v>2.0</v>
      </c>
      <c r="F219" s="2" t="s">
        <v>1237</v>
      </c>
      <c r="G219" s="10" t="s">
        <v>1238</v>
      </c>
      <c r="H219" s="2" t="s">
        <v>1239</v>
      </c>
      <c r="I219" s="31" t="s">
        <v>1240</v>
      </c>
      <c r="J219" s="32">
        <v>44136.0</v>
      </c>
      <c r="K219" s="11" t="s">
        <v>30</v>
      </c>
      <c r="L219" s="9"/>
      <c r="M219" s="15"/>
      <c r="N219" s="15"/>
      <c r="O219" s="15"/>
      <c r="P219" s="15"/>
      <c r="Q219" s="15"/>
      <c r="R219" s="15"/>
      <c r="S219" s="15"/>
      <c r="T219" s="15"/>
      <c r="U219" s="15"/>
      <c r="V219" s="15"/>
    </row>
    <row r="220">
      <c r="A220" s="16" t="s">
        <v>1243</v>
      </c>
      <c r="B220" s="38" t="s">
        <v>1235</v>
      </c>
      <c r="C220" s="2" t="s">
        <v>33</v>
      </c>
      <c r="D220" s="2" t="s">
        <v>1104</v>
      </c>
      <c r="E220" s="2">
        <v>2.0</v>
      </c>
      <c r="F220" s="2" t="s">
        <v>1244</v>
      </c>
      <c r="G220" s="10" t="s">
        <v>1245</v>
      </c>
      <c r="H220" s="2" t="s">
        <v>1246</v>
      </c>
      <c r="I220" s="31" t="s">
        <v>1240</v>
      </c>
      <c r="J220" s="32">
        <v>44136.0</v>
      </c>
      <c r="K220" s="11" t="s">
        <v>30</v>
      </c>
      <c r="L220" s="9"/>
      <c r="M220" s="15"/>
      <c r="N220" s="15"/>
      <c r="O220" s="15"/>
      <c r="P220" s="15"/>
      <c r="Q220" s="15"/>
      <c r="R220" s="15"/>
      <c r="S220" s="15"/>
      <c r="T220" s="15"/>
      <c r="U220" s="15"/>
      <c r="V220" s="15"/>
    </row>
    <row r="221">
      <c r="A221" s="16" t="s">
        <v>1247</v>
      </c>
      <c r="B221" s="38" t="s">
        <v>1235</v>
      </c>
      <c r="C221" s="2" t="s">
        <v>41</v>
      </c>
      <c r="D221" s="2" t="s">
        <v>1104</v>
      </c>
      <c r="E221" s="2">
        <v>2.0</v>
      </c>
      <c r="F221" s="9" t="s">
        <v>1249</v>
      </c>
      <c r="G221" s="10" t="s">
        <v>1250</v>
      </c>
      <c r="H221" s="2" t="s">
        <v>1251</v>
      </c>
      <c r="I221" s="31" t="s">
        <v>1240</v>
      </c>
      <c r="J221" s="32">
        <v>44136.0</v>
      </c>
      <c r="K221" s="11" t="s">
        <v>30</v>
      </c>
      <c r="L221" s="9"/>
      <c r="M221" s="2" t="s">
        <v>1253</v>
      </c>
      <c r="N221" s="15"/>
      <c r="O221" s="15"/>
      <c r="P221" s="15"/>
      <c r="Q221" s="15"/>
      <c r="R221" s="15"/>
      <c r="S221" s="15"/>
      <c r="T221" s="15"/>
      <c r="U221" s="15"/>
      <c r="V221" s="15"/>
    </row>
    <row r="222">
      <c r="A222" s="16" t="s">
        <v>1254</v>
      </c>
      <c r="B222" s="22" t="s">
        <v>1255</v>
      </c>
      <c r="C222" s="2" t="s">
        <v>33</v>
      </c>
      <c r="D222" s="2" t="s">
        <v>1104</v>
      </c>
      <c r="E222" s="22">
        <v>3.0</v>
      </c>
      <c r="F222" s="9" t="s">
        <v>1257</v>
      </c>
      <c r="G222" s="10" t="s">
        <v>1258</v>
      </c>
      <c r="H222" s="2" t="s">
        <v>1259</v>
      </c>
      <c r="I222" s="39" t="s">
        <v>1260</v>
      </c>
      <c r="J222" s="27">
        <v>44143.0</v>
      </c>
      <c r="K222" s="11" t="s">
        <v>30</v>
      </c>
      <c r="L222" s="9"/>
      <c r="M222" s="15"/>
      <c r="N222" s="15"/>
      <c r="O222" s="15"/>
      <c r="P222" s="15"/>
      <c r="Q222" s="15"/>
      <c r="R222" s="15"/>
      <c r="S222" s="15"/>
      <c r="T222" s="15"/>
      <c r="U222" s="15"/>
      <c r="V222" s="15"/>
    </row>
    <row r="223">
      <c r="A223" s="21" t="s">
        <v>1261</v>
      </c>
      <c r="B223" s="22" t="s">
        <v>1255</v>
      </c>
      <c r="C223" s="2" t="s">
        <v>41</v>
      </c>
      <c r="D223" s="2" t="s">
        <v>1104</v>
      </c>
      <c r="E223" s="22">
        <v>3.0</v>
      </c>
      <c r="F223" s="9" t="s">
        <v>1264</v>
      </c>
      <c r="G223" s="10" t="s">
        <v>1265</v>
      </c>
      <c r="H223" s="11" t="s">
        <v>1266</v>
      </c>
      <c r="I223" s="39" t="s">
        <v>1260</v>
      </c>
      <c r="J223" s="27">
        <v>44143.0</v>
      </c>
      <c r="K223" s="11" t="s">
        <v>30</v>
      </c>
      <c r="L223" s="9"/>
      <c r="M223" s="15"/>
      <c r="N223" s="2"/>
      <c r="O223" s="2"/>
      <c r="P223" s="2"/>
      <c r="Q223" s="2"/>
      <c r="R223" s="2"/>
      <c r="S223" s="2"/>
      <c r="T223" s="2"/>
      <c r="U223" s="2"/>
      <c r="V223" s="2"/>
    </row>
    <row r="224">
      <c r="A224" s="16" t="s">
        <v>1268</v>
      </c>
      <c r="B224" s="22" t="s">
        <v>1255</v>
      </c>
      <c r="C224" s="2" t="s">
        <v>21</v>
      </c>
      <c r="D224" s="2" t="s">
        <v>1104</v>
      </c>
      <c r="E224" s="22">
        <v>3.0</v>
      </c>
      <c r="F224" s="9" t="s">
        <v>1269</v>
      </c>
      <c r="G224" s="10" t="s">
        <v>1270</v>
      </c>
      <c r="H224" s="11" t="s">
        <v>1271</v>
      </c>
      <c r="I224" s="39" t="s">
        <v>1260</v>
      </c>
      <c r="J224" s="27">
        <v>44143.0</v>
      </c>
      <c r="K224" s="11" t="s">
        <v>30</v>
      </c>
      <c r="L224" s="9"/>
      <c r="M224" s="2" t="s">
        <v>1272</v>
      </c>
      <c r="N224" s="15"/>
      <c r="O224" s="15"/>
      <c r="P224" s="15"/>
      <c r="Q224" s="15"/>
      <c r="R224" s="15"/>
      <c r="S224" s="15"/>
      <c r="T224" s="15"/>
      <c r="U224" s="15"/>
      <c r="V224" s="15"/>
    </row>
    <row r="225">
      <c r="A225" s="16" t="s">
        <v>1273</v>
      </c>
      <c r="B225" s="40" t="s">
        <v>1275</v>
      </c>
      <c r="C225" s="2" t="s">
        <v>41</v>
      </c>
      <c r="D225" s="2">
        <v>10.0</v>
      </c>
      <c r="E225" s="22">
        <v>1.0</v>
      </c>
      <c r="F225" s="2" t="s">
        <v>1277</v>
      </c>
      <c r="G225" s="41" t="s">
        <v>1278</v>
      </c>
      <c r="H225" s="16" t="s">
        <v>1279</v>
      </c>
      <c r="I225" s="41" t="s">
        <v>1280</v>
      </c>
      <c r="J225" s="42">
        <v>44532.0</v>
      </c>
      <c r="K225" s="11" t="s">
        <v>30</v>
      </c>
      <c r="L225" s="2">
        <v>2.0</v>
      </c>
      <c r="M225" s="25"/>
      <c r="N225" s="2"/>
      <c r="O225" s="2"/>
      <c r="P225" s="2"/>
      <c r="Q225" s="2"/>
      <c r="R225" s="2"/>
      <c r="S225" s="2"/>
      <c r="T225" s="2"/>
      <c r="U225" s="2"/>
      <c r="V225" s="2"/>
    </row>
    <row r="226">
      <c r="A226" s="16" t="s">
        <v>1282</v>
      </c>
      <c r="B226" s="40" t="s">
        <v>1275</v>
      </c>
      <c r="C226" s="2" t="s">
        <v>21</v>
      </c>
      <c r="D226" s="2">
        <v>10.0</v>
      </c>
      <c r="E226" s="22">
        <v>1.0</v>
      </c>
      <c r="F226" s="2" t="s">
        <v>1284</v>
      </c>
      <c r="G226" s="41" t="s">
        <v>1285</v>
      </c>
      <c r="H226" s="16" t="s">
        <v>1286</v>
      </c>
      <c r="I226" s="41" t="s">
        <v>1287</v>
      </c>
      <c r="J226" s="42">
        <v>44532.0</v>
      </c>
      <c r="K226" s="11" t="s">
        <v>30</v>
      </c>
      <c r="L226" s="2"/>
      <c r="M226" s="6" t="s">
        <v>1290</v>
      </c>
      <c r="N226" s="2"/>
      <c r="O226" s="2"/>
      <c r="P226" s="2"/>
      <c r="Q226" s="2"/>
      <c r="R226" s="2"/>
      <c r="S226" s="2"/>
      <c r="T226" s="2"/>
      <c r="U226" s="2"/>
      <c r="V226" s="2"/>
    </row>
    <row r="227">
      <c r="A227" s="16" t="s">
        <v>1292</v>
      </c>
      <c r="B227" s="40" t="s">
        <v>1275</v>
      </c>
      <c r="C227" s="2" t="s">
        <v>645</v>
      </c>
      <c r="D227" s="2">
        <v>10.0</v>
      </c>
      <c r="E227" s="22">
        <v>1.0</v>
      </c>
      <c r="F227" s="2" t="s">
        <v>1294</v>
      </c>
      <c r="G227" s="16" t="s">
        <v>1295</v>
      </c>
      <c r="H227" s="43" t="s">
        <v>1296</v>
      </c>
      <c r="I227" s="41" t="s">
        <v>1297</v>
      </c>
      <c r="J227" s="42">
        <v>44532.0</v>
      </c>
      <c r="K227" s="11" t="s">
        <v>37</v>
      </c>
      <c r="L227" s="2"/>
      <c r="M227" s="25"/>
      <c r="N227" s="2"/>
      <c r="O227" s="2"/>
      <c r="P227" s="2"/>
      <c r="Q227" s="2"/>
      <c r="R227" s="2"/>
      <c r="S227" s="2"/>
      <c r="T227" s="2"/>
      <c r="U227" s="2"/>
      <c r="V227" s="2"/>
    </row>
    <row r="228">
      <c r="A228" s="16" t="s">
        <v>1299</v>
      </c>
      <c r="B228" s="40" t="s">
        <v>1275</v>
      </c>
      <c r="C228" s="2" t="s">
        <v>33</v>
      </c>
      <c r="D228" s="2">
        <v>10.0</v>
      </c>
      <c r="E228" s="22">
        <v>1.0</v>
      </c>
      <c r="F228" s="2" t="s">
        <v>1300</v>
      </c>
      <c r="G228" s="41" t="s">
        <v>1301</v>
      </c>
      <c r="H228" s="43" t="s">
        <v>1302</v>
      </c>
      <c r="I228" s="41" t="s">
        <v>1303</v>
      </c>
      <c r="J228" s="42">
        <v>44532.0</v>
      </c>
      <c r="K228" s="11" t="s">
        <v>30</v>
      </c>
      <c r="L228" s="2">
        <v>1.0</v>
      </c>
      <c r="M228" s="25"/>
      <c r="N228" s="2"/>
      <c r="O228" s="2"/>
      <c r="P228" s="2"/>
      <c r="Q228" s="2"/>
      <c r="R228" s="2"/>
      <c r="S228" s="2"/>
      <c r="T228" s="2"/>
      <c r="U228" s="2"/>
      <c r="V228" s="2"/>
    </row>
    <row r="229">
      <c r="A229" s="16" t="s">
        <v>1234</v>
      </c>
      <c r="B229" s="20" t="s">
        <v>1305</v>
      </c>
      <c r="C229" s="2" t="s">
        <v>645</v>
      </c>
      <c r="D229" s="2">
        <v>7.0</v>
      </c>
      <c r="E229" s="2">
        <v>2.0</v>
      </c>
      <c r="F229" s="2" t="s">
        <v>1306</v>
      </c>
      <c r="G229" s="10" t="s">
        <v>1307</v>
      </c>
      <c r="H229" s="2" t="s">
        <v>1241</v>
      </c>
      <c r="I229" s="21" t="s">
        <v>1308</v>
      </c>
      <c r="J229" s="20" t="s">
        <v>1309</v>
      </c>
      <c r="K229" s="11" t="s">
        <v>30</v>
      </c>
      <c r="L229" s="9"/>
      <c r="M229" s="15"/>
      <c r="N229" s="12"/>
      <c r="O229" s="2"/>
      <c r="P229" s="2"/>
      <c r="Q229" s="2"/>
      <c r="R229" s="2"/>
      <c r="S229" s="15"/>
      <c r="T229" s="15"/>
      <c r="U229" s="2"/>
      <c r="V229" s="2"/>
    </row>
    <row r="230">
      <c r="A230" s="16" t="s">
        <v>1310</v>
      </c>
      <c r="B230" s="20" t="s">
        <v>1311</v>
      </c>
      <c r="C230" s="2" t="s">
        <v>21</v>
      </c>
      <c r="D230" s="2" t="s">
        <v>1313</v>
      </c>
      <c r="E230" s="2" t="s">
        <v>1314</v>
      </c>
      <c r="F230" s="2" t="s">
        <v>1315</v>
      </c>
      <c r="G230" s="10" t="s">
        <v>1316</v>
      </c>
      <c r="H230" s="2" t="s">
        <v>1179</v>
      </c>
      <c r="I230" s="21" t="s">
        <v>1317</v>
      </c>
      <c r="J230" s="20" t="s">
        <v>1318</v>
      </c>
      <c r="K230" s="11" t="s">
        <v>30</v>
      </c>
      <c r="L230" s="2" t="s">
        <v>1319</v>
      </c>
      <c r="M230" s="15"/>
      <c r="N230" s="12"/>
      <c r="O230" s="2"/>
      <c r="P230" s="2"/>
      <c r="Q230" s="2"/>
      <c r="R230" s="2"/>
      <c r="S230" s="15"/>
      <c r="T230" s="15"/>
      <c r="U230" s="11"/>
      <c r="V230" s="11"/>
    </row>
    <row r="231">
      <c r="A231" s="16" t="s">
        <v>1083</v>
      </c>
      <c r="B231" s="20" t="s">
        <v>1320</v>
      </c>
      <c r="C231" s="2" t="s">
        <v>1321</v>
      </c>
      <c r="D231" s="2" t="s">
        <v>1322</v>
      </c>
      <c r="E231" s="2" t="s">
        <v>1323</v>
      </c>
      <c r="F231" s="2" t="s">
        <v>1324</v>
      </c>
      <c r="G231" s="10" t="s">
        <v>1325</v>
      </c>
      <c r="H231" s="2" t="s">
        <v>1090</v>
      </c>
      <c r="I231" s="21" t="s">
        <v>1326</v>
      </c>
      <c r="J231" s="20" t="s">
        <v>1327</v>
      </c>
      <c r="K231" s="11" t="s">
        <v>30</v>
      </c>
      <c r="L231" s="9"/>
      <c r="M231" s="2" t="s">
        <v>1091</v>
      </c>
      <c r="N231" s="12"/>
      <c r="O231" s="2"/>
      <c r="P231" s="2"/>
      <c r="Q231" s="2"/>
      <c r="R231" s="2"/>
      <c r="S231" s="15"/>
      <c r="T231" s="15"/>
      <c r="U231" s="2"/>
      <c r="V231" s="2"/>
    </row>
    <row r="232">
      <c r="A232" s="6" t="str">
        <f>HYPERLINK("https://aplrestaurant.com/","APL")</f>
        <v>APL</v>
      </c>
      <c r="B232" s="20" t="s">
        <v>1329</v>
      </c>
      <c r="C232" s="2" t="s">
        <v>33</v>
      </c>
      <c r="D232" s="2" t="s">
        <v>1330</v>
      </c>
      <c r="E232" s="2" t="s">
        <v>1331</v>
      </c>
      <c r="F232" s="2" t="s">
        <v>1332</v>
      </c>
      <c r="G232" s="10" t="s">
        <v>1333</v>
      </c>
      <c r="H232" s="11" t="s">
        <v>885</v>
      </c>
      <c r="I232" s="21" t="s">
        <v>1334</v>
      </c>
      <c r="J232" s="20" t="s">
        <v>1335</v>
      </c>
      <c r="K232" s="11" t="s">
        <v>30</v>
      </c>
      <c r="L232" s="9">
        <v>1.0</v>
      </c>
      <c r="M232" s="2" t="s">
        <v>1336</v>
      </c>
      <c r="N232" s="12"/>
      <c r="O232" s="2"/>
      <c r="P232" s="2"/>
      <c r="Q232" s="2"/>
      <c r="R232" s="2"/>
      <c r="S232" s="15"/>
      <c r="T232" s="15"/>
      <c r="U232" s="2"/>
      <c r="V232" s="2"/>
    </row>
    <row r="233">
      <c r="A233" s="16" t="s">
        <v>1337</v>
      </c>
      <c r="B233" s="22" t="s">
        <v>1338</v>
      </c>
      <c r="C233" s="2" t="s">
        <v>41</v>
      </c>
      <c r="D233" s="2">
        <v>10.0</v>
      </c>
      <c r="E233" s="22">
        <v>2.0</v>
      </c>
      <c r="F233" s="12" t="s">
        <v>1339</v>
      </c>
      <c r="G233" s="16" t="s">
        <v>1340</v>
      </c>
      <c r="H233" s="43" t="s">
        <v>1341</v>
      </c>
      <c r="I233" s="39" t="s">
        <v>1342</v>
      </c>
      <c r="J233" s="27">
        <v>44534.0</v>
      </c>
      <c r="K233" s="11" t="s">
        <v>30</v>
      </c>
      <c r="L233" s="43">
        <v>1.0</v>
      </c>
      <c r="M233" s="11"/>
      <c r="N233" s="11"/>
      <c r="O233" s="2" t="s">
        <v>39</v>
      </c>
      <c r="P233" s="25" t="s">
        <v>40</v>
      </c>
      <c r="Q233" s="2"/>
      <c r="R233" s="2"/>
      <c r="S233" s="15"/>
      <c r="T233" s="15"/>
      <c r="U233" s="15"/>
      <c r="V233" s="2"/>
    </row>
    <row r="234">
      <c r="A234" s="16" t="s">
        <v>1344</v>
      </c>
      <c r="B234" s="22" t="s">
        <v>1338</v>
      </c>
      <c r="C234" s="2" t="s">
        <v>21</v>
      </c>
      <c r="D234" s="2">
        <v>10.0</v>
      </c>
      <c r="E234" s="22">
        <v>2.0</v>
      </c>
      <c r="F234" s="12" t="s">
        <v>1345</v>
      </c>
      <c r="G234" s="16" t="s">
        <v>1346</v>
      </c>
      <c r="H234" s="43" t="s">
        <v>1347</v>
      </c>
      <c r="I234" s="39" t="s">
        <v>1348</v>
      </c>
      <c r="J234" s="27">
        <v>44534.0</v>
      </c>
      <c r="K234" s="11" t="s">
        <v>30</v>
      </c>
      <c r="L234" s="11">
        <v>1.0</v>
      </c>
      <c r="M234" s="2" t="s">
        <v>1349</v>
      </c>
      <c r="N234" s="2" t="s">
        <v>39</v>
      </c>
      <c r="O234" s="25" t="s">
        <v>40</v>
      </c>
      <c r="P234" s="2"/>
      <c r="Q234" s="2"/>
      <c r="R234" s="15"/>
      <c r="S234" s="15"/>
      <c r="T234" s="15"/>
      <c r="U234" s="2"/>
    </row>
    <row r="235">
      <c r="A235" s="44" t="s">
        <v>1350</v>
      </c>
      <c r="B235" s="22" t="s">
        <v>1338</v>
      </c>
      <c r="C235" s="2" t="s">
        <v>33</v>
      </c>
      <c r="D235" s="2">
        <v>10.0</v>
      </c>
      <c r="E235" s="22">
        <v>2.0</v>
      </c>
      <c r="F235" s="12" t="s">
        <v>1352</v>
      </c>
      <c r="G235" s="31" t="s">
        <v>1353</v>
      </c>
      <c r="H235" s="39" t="s">
        <v>1354</v>
      </c>
      <c r="I235" s="41" t="s">
        <v>1355</v>
      </c>
      <c r="J235" s="27">
        <v>44534.0</v>
      </c>
      <c r="K235" s="11" t="s">
        <v>30</v>
      </c>
      <c r="L235" s="11">
        <v>1.0</v>
      </c>
      <c r="M235" s="11"/>
      <c r="N235" s="2" t="s">
        <v>39</v>
      </c>
      <c r="O235" s="25" t="s">
        <v>40</v>
      </c>
      <c r="P235" s="2"/>
      <c r="Q235" s="2"/>
      <c r="R235" s="15"/>
      <c r="S235" s="15"/>
      <c r="T235" s="15"/>
      <c r="U235" s="2"/>
    </row>
    <row r="236">
      <c r="A236" s="44" t="s">
        <v>1356</v>
      </c>
      <c r="B236" s="43" t="s">
        <v>1357</v>
      </c>
      <c r="C236" s="43" t="s">
        <v>41</v>
      </c>
      <c r="D236" s="43">
        <v>10.0</v>
      </c>
      <c r="E236" s="43">
        <v>3.0</v>
      </c>
      <c r="F236" s="43" t="s">
        <v>1358</v>
      </c>
      <c r="G236" s="41" t="s">
        <v>1360</v>
      </c>
      <c r="H236" s="43" t="s">
        <v>1361</v>
      </c>
      <c r="I236" s="41" t="s">
        <v>1362</v>
      </c>
      <c r="J236" s="45">
        <v>44541.0</v>
      </c>
      <c r="K236" s="43" t="s">
        <v>30</v>
      </c>
      <c r="L236" s="43">
        <v>1.0</v>
      </c>
    </row>
    <row r="237">
      <c r="A237" s="44" t="s">
        <v>1363</v>
      </c>
      <c r="B237" s="43" t="s">
        <v>1357</v>
      </c>
      <c r="C237" s="43" t="s">
        <v>21</v>
      </c>
      <c r="D237" s="43">
        <v>10.0</v>
      </c>
      <c r="E237" s="43">
        <v>3.0</v>
      </c>
      <c r="F237" s="2" t="s">
        <v>1364</v>
      </c>
      <c r="G237" s="44" t="s">
        <v>1365</v>
      </c>
      <c r="H237" s="43" t="s">
        <v>1366</v>
      </c>
      <c r="I237" s="44" t="s">
        <v>1367</v>
      </c>
      <c r="J237" s="45">
        <v>44541.0</v>
      </c>
      <c r="K237" s="43" t="s">
        <v>30</v>
      </c>
      <c r="L237" s="43">
        <v>1.0</v>
      </c>
      <c r="N237" s="2"/>
      <c r="O237" s="25"/>
      <c r="P237" s="2"/>
      <c r="Q237" s="2"/>
      <c r="R237" s="15"/>
      <c r="S237" s="15"/>
      <c r="T237" s="15"/>
      <c r="U237" s="2"/>
      <c r="V237" s="2"/>
    </row>
    <row r="238">
      <c r="A238" s="46" t="s">
        <v>1368</v>
      </c>
      <c r="B238" s="43" t="s">
        <v>1357</v>
      </c>
      <c r="C238" s="2" t="s">
        <v>645</v>
      </c>
      <c r="D238" s="2">
        <v>10.0</v>
      </c>
      <c r="E238" s="2">
        <v>3.0</v>
      </c>
      <c r="F238" s="2" t="s">
        <v>1369</v>
      </c>
      <c r="G238" s="23" t="s">
        <v>1370</v>
      </c>
      <c r="H238" s="2" t="s">
        <v>1371</v>
      </c>
      <c r="I238" s="39" t="s">
        <v>1372</v>
      </c>
      <c r="J238" s="45">
        <v>44541.0</v>
      </c>
      <c r="K238" s="43" t="s">
        <v>30</v>
      </c>
      <c r="L238" s="9"/>
      <c r="M238" s="2"/>
      <c r="N238" s="2"/>
      <c r="O238" s="2"/>
      <c r="P238" s="2"/>
      <c r="Q238" s="2"/>
      <c r="R238" s="2"/>
      <c r="S238" s="2"/>
      <c r="T238" s="2"/>
      <c r="U238" s="2"/>
      <c r="V238" s="2"/>
    </row>
    <row r="239">
      <c r="A239" s="6" t="s">
        <v>1373</v>
      </c>
      <c r="B239" s="20" t="s">
        <v>1374</v>
      </c>
      <c r="C239" s="2" t="s">
        <v>41</v>
      </c>
      <c r="D239" s="2">
        <v>10.0</v>
      </c>
      <c r="E239" s="2">
        <v>4.0</v>
      </c>
      <c r="F239" s="2" t="s">
        <v>1375</v>
      </c>
      <c r="G239" s="23" t="s">
        <v>1376</v>
      </c>
      <c r="H239" s="2" t="s">
        <v>1377</v>
      </c>
      <c r="I239" s="47" t="s">
        <v>1378</v>
      </c>
      <c r="J239" s="27">
        <v>44898.0</v>
      </c>
      <c r="K239" s="11" t="s">
        <v>30</v>
      </c>
      <c r="L239" s="2">
        <v>1.0</v>
      </c>
      <c r="M239" s="2" t="s">
        <v>1379</v>
      </c>
      <c r="N239" s="2"/>
      <c r="O239" s="2"/>
      <c r="P239" s="2"/>
      <c r="Q239" s="2"/>
      <c r="R239" s="2"/>
      <c r="S239" s="2"/>
      <c r="T239" s="2"/>
      <c r="U239" s="2"/>
      <c r="V239" s="2"/>
    </row>
    <row r="240">
      <c r="A240" s="16" t="s">
        <v>1380</v>
      </c>
      <c r="B240" s="20" t="s">
        <v>1374</v>
      </c>
      <c r="C240" s="2" t="s">
        <v>21</v>
      </c>
      <c r="D240" s="2">
        <v>10.0</v>
      </c>
      <c r="E240" s="2">
        <v>4.0</v>
      </c>
      <c r="F240" s="2" t="s">
        <v>1381</v>
      </c>
      <c r="G240" s="23" t="s">
        <v>1382</v>
      </c>
      <c r="H240" s="2" t="s">
        <v>1383</v>
      </c>
      <c r="I240" s="39" t="s">
        <v>1384</v>
      </c>
      <c r="J240" s="27">
        <v>44898.0</v>
      </c>
      <c r="K240" s="11" t="s">
        <v>30</v>
      </c>
      <c r="L240" s="2">
        <v>1.0</v>
      </c>
      <c r="M240" s="2" t="s">
        <v>1385</v>
      </c>
      <c r="N240" s="2"/>
      <c r="O240" s="2"/>
      <c r="P240" s="2"/>
      <c r="Q240" s="2"/>
      <c r="R240" s="2"/>
      <c r="S240" s="2"/>
      <c r="T240" s="2"/>
      <c r="U240" s="2"/>
      <c r="V240" s="2"/>
    </row>
    <row r="241">
      <c r="A241" s="48" t="s">
        <v>1386</v>
      </c>
      <c r="B241" s="20" t="s">
        <v>1374</v>
      </c>
      <c r="C241" s="2" t="s">
        <v>645</v>
      </c>
      <c r="D241" s="2">
        <v>10.0</v>
      </c>
      <c r="E241" s="2">
        <v>4.0</v>
      </c>
      <c r="F241" s="2" t="s">
        <v>1388</v>
      </c>
      <c r="G241" s="23" t="s">
        <v>1389</v>
      </c>
      <c r="H241" s="2" t="s">
        <v>1390</v>
      </c>
      <c r="I241" s="39" t="s">
        <v>1391</v>
      </c>
      <c r="J241" s="27">
        <v>44898.0</v>
      </c>
      <c r="K241" s="11" t="s">
        <v>30</v>
      </c>
      <c r="L241" s="9"/>
      <c r="M241" s="2"/>
      <c r="N241" s="2"/>
      <c r="O241" s="2"/>
      <c r="P241" s="2"/>
      <c r="Q241" s="2"/>
      <c r="R241" s="2"/>
      <c r="S241" s="2"/>
      <c r="T241" s="2"/>
      <c r="U241" s="2"/>
      <c r="V241" s="2"/>
    </row>
    <row r="242">
      <c r="A242" s="6" t="s">
        <v>1394</v>
      </c>
      <c r="B242" s="20" t="s">
        <v>1374</v>
      </c>
      <c r="C242" s="2" t="s">
        <v>33</v>
      </c>
      <c r="D242" s="2">
        <v>10.0</v>
      </c>
      <c r="E242" s="2">
        <v>4.0</v>
      </c>
      <c r="F242" s="2" t="s">
        <v>1395</v>
      </c>
      <c r="G242" s="23" t="s">
        <v>1397</v>
      </c>
      <c r="H242" s="2" t="s">
        <v>1398</v>
      </c>
      <c r="I242" s="39" t="s">
        <v>1399</v>
      </c>
      <c r="J242" s="27">
        <v>44898.0</v>
      </c>
      <c r="K242" s="11" t="s">
        <v>30</v>
      </c>
      <c r="L242" s="2">
        <v>1.0</v>
      </c>
      <c r="M242" s="2" t="s">
        <v>1400</v>
      </c>
      <c r="N242" s="2"/>
      <c r="O242" s="2"/>
      <c r="P242" s="2"/>
      <c r="Q242" s="2"/>
      <c r="R242" s="2"/>
      <c r="S242" s="2"/>
      <c r="T242" s="2"/>
      <c r="U242" s="2"/>
      <c r="V242" s="2"/>
    </row>
    <row r="243">
      <c r="A243" s="48" t="s">
        <v>1401</v>
      </c>
      <c r="B243" s="7"/>
      <c r="C243" s="2" t="s">
        <v>645</v>
      </c>
      <c r="D243" s="2"/>
      <c r="E243" s="2"/>
      <c r="F243" s="2" t="s">
        <v>1403</v>
      </c>
      <c r="G243" s="23" t="s">
        <v>1404</v>
      </c>
      <c r="H243" s="2" t="s">
        <v>1405</v>
      </c>
      <c r="I243" s="39" t="s">
        <v>1406</v>
      </c>
      <c r="J243" s="14"/>
      <c r="K243" s="11"/>
      <c r="L243" s="9"/>
      <c r="M243" s="2"/>
      <c r="N243" s="2"/>
      <c r="O243" s="2"/>
      <c r="P243" s="2"/>
      <c r="Q243" s="2"/>
      <c r="R243" s="2"/>
      <c r="S243" s="2"/>
      <c r="T243" s="2"/>
      <c r="U243" s="2"/>
      <c r="V243" s="2"/>
    </row>
    <row r="244">
      <c r="A244" s="16"/>
      <c r="B244" s="7"/>
      <c r="C244" s="2"/>
      <c r="D244" s="2"/>
      <c r="E244" s="2"/>
      <c r="F244" s="9"/>
      <c r="G244" s="10"/>
      <c r="H244" s="2"/>
      <c r="I244" s="13"/>
      <c r="J244" s="14"/>
      <c r="K244" s="11"/>
      <c r="L244" s="9"/>
      <c r="M244" s="2"/>
      <c r="N244" s="2"/>
      <c r="O244" s="2"/>
      <c r="P244" s="2"/>
      <c r="Q244" s="2"/>
      <c r="R244" s="2"/>
      <c r="S244" s="2"/>
      <c r="T244" s="2"/>
      <c r="U244" s="2"/>
      <c r="V244" s="2"/>
    </row>
    <row r="245">
      <c r="A245" s="16"/>
      <c r="B245" s="7"/>
      <c r="C245" s="2"/>
      <c r="D245" s="2"/>
      <c r="E245" s="2"/>
      <c r="F245" s="9"/>
      <c r="G245" s="10"/>
      <c r="H245" s="2"/>
      <c r="I245" s="13"/>
      <c r="J245" s="14"/>
      <c r="K245" s="11"/>
      <c r="L245" s="9"/>
      <c r="M245" s="2"/>
      <c r="N245" s="2"/>
      <c r="O245" s="2"/>
      <c r="P245" s="2"/>
      <c r="Q245" s="2"/>
      <c r="R245" s="2"/>
      <c r="S245" s="2"/>
      <c r="T245" s="2"/>
      <c r="U245" s="2"/>
      <c r="V245" s="2"/>
    </row>
    <row r="246">
      <c r="A246" s="16"/>
      <c r="B246" s="7"/>
      <c r="C246" s="2"/>
      <c r="D246" s="2"/>
      <c r="E246" s="2"/>
      <c r="F246" s="9"/>
      <c r="G246" s="10"/>
      <c r="H246" s="2"/>
      <c r="I246" s="13"/>
      <c r="J246" s="14"/>
      <c r="K246" s="11"/>
      <c r="L246" s="9"/>
      <c r="M246" s="2"/>
      <c r="N246" s="2"/>
      <c r="O246" s="2"/>
      <c r="P246" s="2"/>
      <c r="Q246" s="2"/>
      <c r="R246" s="2"/>
      <c r="S246" s="2"/>
      <c r="T246" s="2"/>
      <c r="U246" s="2"/>
      <c r="V246" s="2"/>
    </row>
    <row r="247">
      <c r="A247" s="16"/>
      <c r="B247" s="7"/>
      <c r="C247" s="2"/>
      <c r="D247" s="2"/>
      <c r="E247" s="2"/>
      <c r="F247" s="9"/>
      <c r="G247" s="10"/>
      <c r="H247" s="2"/>
      <c r="I247" s="13"/>
      <c r="J247" s="14"/>
      <c r="K247" s="11"/>
      <c r="L247" s="9"/>
      <c r="M247" s="2"/>
      <c r="N247" s="2"/>
      <c r="O247" s="2"/>
      <c r="P247" s="2"/>
      <c r="Q247" s="2"/>
      <c r="R247" s="2"/>
      <c r="S247" s="2"/>
      <c r="T247" s="2"/>
      <c r="U247" s="2"/>
      <c r="V247" s="2"/>
    </row>
    <row r="248">
      <c r="A248" s="16"/>
      <c r="B248" s="7"/>
      <c r="C248" s="2"/>
      <c r="D248" s="2"/>
      <c r="E248" s="2"/>
      <c r="F248" s="9"/>
      <c r="G248" s="10"/>
      <c r="H248" s="2"/>
      <c r="I248" s="13"/>
      <c r="J248" s="14"/>
      <c r="K248" s="11"/>
      <c r="L248" s="9"/>
      <c r="M248" s="2"/>
      <c r="N248" s="2"/>
      <c r="O248" s="2"/>
      <c r="P248" s="2"/>
      <c r="Q248" s="2"/>
      <c r="R248" s="2"/>
      <c r="S248" s="2"/>
      <c r="T248" s="2"/>
      <c r="U248" s="2"/>
      <c r="V248" s="2"/>
    </row>
    <row r="249">
      <c r="A249" s="16"/>
      <c r="B249" s="7"/>
      <c r="C249" s="2"/>
      <c r="D249" s="2"/>
      <c r="E249" s="2"/>
      <c r="F249" s="9"/>
      <c r="G249" s="10"/>
      <c r="H249" s="2"/>
      <c r="I249" s="13"/>
      <c r="J249" s="14"/>
      <c r="K249" s="11"/>
      <c r="L249" s="9"/>
      <c r="M249" s="2"/>
      <c r="N249" s="2"/>
      <c r="O249" s="2"/>
      <c r="P249" s="2"/>
      <c r="Q249" s="2"/>
      <c r="R249" s="2"/>
      <c r="S249" s="2"/>
      <c r="T249" s="2"/>
      <c r="U249" s="2"/>
      <c r="V249" s="2"/>
    </row>
  </sheetData>
  <autoFilter ref="$A$1:$M$243">
    <sortState ref="A1:M243">
      <sortCondition ref="J1:J243"/>
      <sortCondition ref="A1:A243"/>
      <sortCondition descending="1" ref="G1:G243"/>
      <sortCondition ref="K1:K243"/>
      <sortCondition ref="C1:C243"/>
      <sortCondition ref="D1:D243"/>
    </sortState>
  </autoFilter>
  <conditionalFormatting sqref="A1:A228 G1:G228 A238:A249 G238:G249">
    <cfRule type="expression" dxfId="0" priority="1">
      <formula>countif(A:A,A1)&gt;1</formula>
    </cfRule>
  </conditionalFormatting>
  <conditionalFormatting sqref="F1:F228 F238:F249">
    <cfRule type="expression" dxfId="0" priority="2">
      <formula>countif(A:A,A1)&gt;1</formula>
    </cfRule>
  </conditionalFormatting>
  <hyperlinks>
    <hyperlink r:id="rId1" ref="I2"/>
    <hyperlink r:id="rId2" ref="A3"/>
    <hyperlink r:id="rId3" ref="I3"/>
    <hyperlink r:id="rId4" ref="I4"/>
    <hyperlink r:id="rId5" ref="I5"/>
    <hyperlink r:id="rId6" ref="I6"/>
    <hyperlink r:id="rId7" ref="I7"/>
    <hyperlink r:id="rId8" ref="I8"/>
    <hyperlink r:id="rId9" ref="I9"/>
    <hyperlink r:id="rId10" ref="I10"/>
    <hyperlink r:id="rId11" ref="I11"/>
    <hyperlink r:id="rId12" ref="I12"/>
    <hyperlink r:id="rId13" ref="I13"/>
    <hyperlink r:id="rId14" ref="I14"/>
    <hyperlink r:id="rId15" ref="I15"/>
    <hyperlink r:id="rId16" ref="I16"/>
    <hyperlink r:id="rId17" ref="I17"/>
    <hyperlink r:id="rId18" ref="I18"/>
    <hyperlink r:id="rId19" ref="I19"/>
    <hyperlink r:id="rId20" ref="I20"/>
    <hyperlink r:id="rId21" ref="I21"/>
    <hyperlink r:id="rId22" ref="I22"/>
    <hyperlink r:id="rId23" ref="I23"/>
    <hyperlink r:id="rId24" ref="A24"/>
    <hyperlink r:id="rId25" ref="I24"/>
    <hyperlink r:id="rId26" ref="I25"/>
    <hyperlink r:id="rId27" ref="I26"/>
    <hyperlink r:id="rId28" ref="I27"/>
    <hyperlink r:id="rId29" ref="I28"/>
    <hyperlink r:id="rId30" ref="I29"/>
    <hyperlink r:id="rId31" ref="I30"/>
    <hyperlink r:id="rId32" ref="I31"/>
    <hyperlink r:id="rId33" ref="I32"/>
    <hyperlink r:id="rId34" ref="I33"/>
    <hyperlink r:id="rId35" ref="I34"/>
    <hyperlink r:id="rId36" ref="I35"/>
    <hyperlink r:id="rId37" ref="I36"/>
    <hyperlink r:id="rId38" ref="I37"/>
    <hyperlink r:id="rId39" ref="I38"/>
    <hyperlink r:id="rId40" ref="I39"/>
    <hyperlink r:id="rId41" ref="I40"/>
    <hyperlink r:id="rId42" ref="I41"/>
    <hyperlink r:id="rId43" ref="I42"/>
    <hyperlink r:id="rId44" ref="I43"/>
    <hyperlink r:id="rId45" ref="I44"/>
    <hyperlink r:id="rId46" ref="I45"/>
    <hyperlink r:id="rId47" ref="I46"/>
    <hyperlink r:id="rId48" ref="I47"/>
    <hyperlink r:id="rId49" ref="I48"/>
    <hyperlink r:id="rId50" ref="I49"/>
    <hyperlink r:id="rId51" ref="I50"/>
    <hyperlink r:id="rId52" ref="I51"/>
    <hyperlink r:id="rId53" ref="I52"/>
    <hyperlink r:id="rId54" ref="I53"/>
    <hyperlink r:id="rId55" ref="I54"/>
    <hyperlink r:id="rId56" ref="I55"/>
    <hyperlink r:id="rId57" ref="I56"/>
    <hyperlink r:id="rId58" ref="A57"/>
    <hyperlink r:id="rId59" ref="I57"/>
    <hyperlink r:id="rId60" ref="I58"/>
    <hyperlink r:id="rId61" ref="I59"/>
    <hyperlink r:id="rId62" ref="I60"/>
    <hyperlink r:id="rId63" ref="I61"/>
    <hyperlink r:id="rId64" ref="I62"/>
    <hyperlink r:id="rId65" ref="I63"/>
    <hyperlink r:id="rId66" ref="I64"/>
    <hyperlink r:id="rId67" ref="I65"/>
    <hyperlink r:id="rId68" ref="I66"/>
    <hyperlink r:id="rId69" ref="I67"/>
    <hyperlink r:id="rId70" ref="I68"/>
    <hyperlink r:id="rId71" ref="I69"/>
    <hyperlink r:id="rId72" ref="I70"/>
    <hyperlink r:id="rId73" ref="I71"/>
    <hyperlink r:id="rId74" ref="I72"/>
    <hyperlink r:id="rId75" ref="I73"/>
    <hyperlink r:id="rId76" ref="I74"/>
    <hyperlink r:id="rId77" ref="I75"/>
    <hyperlink r:id="rId78" ref="I76"/>
    <hyperlink r:id="rId79" ref="G77"/>
    <hyperlink r:id="rId80" ref="I77"/>
    <hyperlink r:id="rId81" ref="I78"/>
    <hyperlink r:id="rId82" ref="I79"/>
    <hyperlink r:id="rId83" ref="I80"/>
    <hyperlink r:id="rId84" ref="I81"/>
    <hyperlink r:id="rId85" ref="I82"/>
    <hyperlink r:id="rId86" ref="I83"/>
    <hyperlink r:id="rId87" ref="I84"/>
    <hyperlink r:id="rId88" ref="I85"/>
    <hyperlink r:id="rId89" ref="I86"/>
    <hyperlink r:id="rId90" ref="I87"/>
    <hyperlink r:id="rId91" ref="I88"/>
    <hyperlink r:id="rId92" ref="I89"/>
    <hyperlink r:id="rId93" ref="I90"/>
    <hyperlink r:id="rId94" ref="I91"/>
    <hyperlink r:id="rId95" ref="I92"/>
    <hyperlink r:id="rId96" ref="I93"/>
    <hyperlink r:id="rId97" ref="A94"/>
    <hyperlink r:id="rId98" ref="I94"/>
    <hyperlink r:id="rId99" ref="I95"/>
    <hyperlink r:id="rId100" ref="I96"/>
    <hyperlink r:id="rId101" ref="I97"/>
    <hyperlink r:id="rId102" ref="I98"/>
    <hyperlink r:id="rId103" ref="I99"/>
    <hyperlink r:id="rId104" ref="I100"/>
    <hyperlink r:id="rId105" ref="I101"/>
    <hyperlink r:id="rId106" ref="I102"/>
    <hyperlink r:id="rId107" ref="I103"/>
    <hyperlink r:id="rId108" ref="I104"/>
    <hyperlink r:id="rId109" ref="I105"/>
    <hyperlink r:id="rId110" ref="I106"/>
    <hyperlink r:id="rId111" ref="I107"/>
    <hyperlink r:id="rId112" ref="I108"/>
    <hyperlink r:id="rId113" ref="I109"/>
    <hyperlink r:id="rId114" ref="I110"/>
    <hyperlink r:id="rId115" ref="I111"/>
    <hyperlink r:id="rId116" ref="I112"/>
    <hyperlink r:id="rId117" ref="I113"/>
    <hyperlink r:id="rId118" ref="I114"/>
    <hyperlink r:id="rId119" ref="I115"/>
    <hyperlink r:id="rId120" ref="I116"/>
    <hyperlink r:id="rId121" ref="I117"/>
    <hyperlink r:id="rId122" ref="I118"/>
    <hyperlink r:id="rId123" ref="I119"/>
    <hyperlink r:id="rId124" ref="I120"/>
    <hyperlink r:id="rId125" ref="I121"/>
    <hyperlink r:id="rId126" ref="I122"/>
    <hyperlink r:id="rId127" ref="I123"/>
    <hyperlink r:id="rId128" ref="I124"/>
    <hyperlink r:id="rId129" ref="I125"/>
    <hyperlink r:id="rId130" ref="I126"/>
    <hyperlink r:id="rId131" ref="I127"/>
    <hyperlink r:id="rId132" ref="I128"/>
    <hyperlink r:id="rId133" ref="I129"/>
    <hyperlink r:id="rId134" ref="I130"/>
    <hyperlink r:id="rId135" ref="I131"/>
    <hyperlink r:id="rId136" ref="I132"/>
    <hyperlink r:id="rId137" ref="I133"/>
    <hyperlink r:id="rId138" ref="I134"/>
    <hyperlink r:id="rId139" ref="I135"/>
    <hyperlink r:id="rId140" ref="I136"/>
    <hyperlink r:id="rId141" ref="I137"/>
    <hyperlink r:id="rId142" ref="I138"/>
    <hyperlink r:id="rId143" ref="I139"/>
    <hyperlink r:id="rId144" ref="I140"/>
    <hyperlink r:id="rId145" ref="I141"/>
    <hyperlink r:id="rId146" ref="I142"/>
    <hyperlink r:id="rId147" ref="I143"/>
    <hyperlink r:id="rId148" ref="I144"/>
    <hyperlink r:id="rId149" ref="I145"/>
    <hyperlink r:id="rId150" ref="I146"/>
    <hyperlink r:id="rId151" ref="I147"/>
    <hyperlink r:id="rId152" ref="I148"/>
    <hyperlink r:id="rId153" ref="I149"/>
    <hyperlink r:id="rId154" ref="I150"/>
    <hyperlink r:id="rId155" ref="I151"/>
    <hyperlink r:id="rId156" ref="I152"/>
    <hyperlink r:id="rId157" ref="A153"/>
    <hyperlink r:id="rId158" ref="I153"/>
    <hyperlink r:id="rId159" ref="A154"/>
    <hyperlink r:id="rId160" ref="I154"/>
    <hyperlink r:id="rId161" ref="A155"/>
    <hyperlink r:id="rId162" ref="I155"/>
    <hyperlink r:id="rId163" ref="A156"/>
    <hyperlink r:id="rId164" ref="I156"/>
    <hyperlink r:id="rId165" ref="A157"/>
    <hyperlink r:id="rId166" ref="I157"/>
    <hyperlink r:id="rId167" ref="A158"/>
    <hyperlink r:id="rId168" ref="I158"/>
    <hyperlink r:id="rId169" ref="A159"/>
    <hyperlink r:id="rId170" ref="I159"/>
    <hyperlink r:id="rId171" ref="A160"/>
    <hyperlink r:id="rId172" ref="I160"/>
    <hyperlink r:id="rId173" ref="A161"/>
    <hyperlink r:id="rId174" ref="I161"/>
    <hyperlink r:id="rId175" ref="A162"/>
    <hyperlink r:id="rId176" ref="I162"/>
    <hyperlink r:id="rId177" ref="A163"/>
    <hyperlink r:id="rId178" ref="I163"/>
    <hyperlink r:id="rId179" ref="A164"/>
    <hyperlink r:id="rId180" ref="I164"/>
    <hyperlink r:id="rId181" ref="A165"/>
    <hyperlink r:id="rId182" ref="I165"/>
    <hyperlink r:id="rId183" ref="A166"/>
    <hyperlink r:id="rId184" ref="I166"/>
    <hyperlink r:id="rId185" ref="A167"/>
    <hyperlink r:id="rId186" ref="I167"/>
    <hyperlink r:id="rId187" ref="A168"/>
    <hyperlink r:id="rId188" ref="I168"/>
    <hyperlink r:id="rId189" ref="A169"/>
    <hyperlink r:id="rId190" ref="I169"/>
    <hyperlink r:id="rId191" ref="A170"/>
    <hyperlink r:id="rId192" ref="I170"/>
    <hyperlink r:id="rId193" ref="I171"/>
    <hyperlink r:id="rId194" ref="I172"/>
    <hyperlink r:id="rId195" ref="A173"/>
    <hyperlink r:id="rId196" ref="I173"/>
    <hyperlink r:id="rId197" ref="A174"/>
    <hyperlink r:id="rId198" ref="I174"/>
    <hyperlink r:id="rId199" ref="A175"/>
    <hyperlink r:id="rId200" ref="I175"/>
    <hyperlink r:id="rId201" ref="A176"/>
    <hyperlink r:id="rId202" ref="I176"/>
    <hyperlink r:id="rId203" ref="A177"/>
    <hyperlink r:id="rId204" ref="I177"/>
    <hyperlink r:id="rId205" ref="A178"/>
    <hyperlink r:id="rId206" ref="I178"/>
    <hyperlink r:id="rId207" ref="A179"/>
    <hyperlink r:id="rId208" ref="I179"/>
    <hyperlink r:id="rId209" ref="A180"/>
    <hyperlink r:id="rId210" ref="I180"/>
    <hyperlink r:id="rId211" ref="A181"/>
    <hyperlink r:id="rId212" ref="I181"/>
    <hyperlink r:id="rId213" ref="A182"/>
    <hyperlink r:id="rId214" ref="I182"/>
    <hyperlink r:id="rId215" ref="A183"/>
    <hyperlink r:id="rId216" ref="I183"/>
    <hyperlink r:id="rId217" ref="A184"/>
    <hyperlink r:id="rId218" ref="I184"/>
    <hyperlink r:id="rId219" ref="A185"/>
    <hyperlink r:id="rId220" ref="I185"/>
    <hyperlink r:id="rId221" ref="A186"/>
    <hyperlink r:id="rId222" ref="I186"/>
    <hyperlink r:id="rId223" ref="A187"/>
    <hyperlink r:id="rId224" ref="I187"/>
    <hyperlink r:id="rId225" ref="A188"/>
    <hyperlink r:id="rId226" ref="I188"/>
    <hyperlink r:id="rId227" ref="A189"/>
    <hyperlink r:id="rId228" ref="I189"/>
    <hyperlink r:id="rId229" ref="A190"/>
    <hyperlink r:id="rId230" ref="I190"/>
    <hyperlink r:id="rId231" ref="A191"/>
    <hyperlink r:id="rId232" ref="I191"/>
    <hyperlink r:id="rId233" ref="A192"/>
    <hyperlink r:id="rId234" ref="I192"/>
    <hyperlink r:id="rId235" ref="A193"/>
    <hyperlink r:id="rId236" ref="I193"/>
    <hyperlink r:id="rId237" ref="A194"/>
    <hyperlink r:id="rId238" ref="I194"/>
    <hyperlink r:id="rId239" ref="A195"/>
    <hyperlink r:id="rId240" ref="I195"/>
    <hyperlink r:id="rId241" ref="A196"/>
    <hyperlink r:id="rId242" ref="I196"/>
    <hyperlink r:id="rId243" ref="A197"/>
    <hyperlink r:id="rId244" ref="I197"/>
    <hyperlink r:id="rId245" ref="A198"/>
    <hyperlink r:id="rId246" ref="I198"/>
    <hyperlink r:id="rId247" ref="A199"/>
    <hyperlink r:id="rId248" ref="I199"/>
    <hyperlink r:id="rId249" ref="A200"/>
    <hyperlink r:id="rId250" ref="I200"/>
    <hyperlink r:id="rId251" ref="A201"/>
    <hyperlink r:id="rId252" ref="I201"/>
    <hyperlink r:id="rId253" ref="A202"/>
    <hyperlink r:id="rId254" ref="I202"/>
    <hyperlink r:id="rId255" ref="A203"/>
    <hyperlink r:id="rId256" ref="I203"/>
    <hyperlink r:id="rId257" ref="A204"/>
    <hyperlink r:id="rId258" ref="I204"/>
    <hyperlink r:id="rId259" ref="A205"/>
    <hyperlink r:id="rId260" ref="I205"/>
    <hyperlink r:id="rId261" ref="A206"/>
    <hyperlink r:id="rId262" ref="I206"/>
    <hyperlink r:id="rId263" ref="A207"/>
    <hyperlink r:id="rId264" ref="I207"/>
    <hyperlink r:id="rId265" ref="A208"/>
    <hyperlink r:id="rId266" ref="I208"/>
    <hyperlink r:id="rId267" ref="A209"/>
    <hyperlink r:id="rId268" ref="I209"/>
    <hyperlink r:id="rId269" ref="A210"/>
    <hyperlink r:id="rId270" ref="I210"/>
    <hyperlink r:id="rId271" ref="A211"/>
    <hyperlink r:id="rId272" ref="I211"/>
    <hyperlink r:id="rId273" ref="A212"/>
    <hyperlink r:id="rId274" ref="I212"/>
    <hyperlink r:id="rId275" ref="A213"/>
    <hyperlink r:id="rId276" ref="I213"/>
    <hyperlink r:id="rId277" ref="A214"/>
    <hyperlink r:id="rId278" ref="I214"/>
    <hyperlink r:id="rId279" ref="A215"/>
    <hyperlink r:id="rId280" ref="I215"/>
    <hyperlink r:id="rId281" ref="A216"/>
    <hyperlink r:id="rId282" ref="I216"/>
    <hyperlink r:id="rId283" ref="A217"/>
    <hyperlink r:id="rId284" ref="I217"/>
    <hyperlink r:id="rId285" ref="A218"/>
    <hyperlink r:id="rId286" ref="I218"/>
    <hyperlink r:id="rId287" ref="A219"/>
    <hyperlink r:id="rId288" ref="I219"/>
    <hyperlink r:id="rId289" ref="A220"/>
    <hyperlink r:id="rId290" ref="I220"/>
    <hyperlink r:id="rId291" ref="A221"/>
    <hyperlink r:id="rId292" ref="I221"/>
    <hyperlink r:id="rId293" ref="A222"/>
    <hyperlink r:id="rId294" ref="I222"/>
    <hyperlink r:id="rId295" ref="A223"/>
    <hyperlink r:id="rId296" ref="I223"/>
    <hyperlink r:id="rId297" ref="A224"/>
    <hyperlink r:id="rId298" ref="I224"/>
    <hyperlink r:id="rId299" ref="A225"/>
    <hyperlink r:id="rId300" ref="G225"/>
    <hyperlink r:id="rId301" ref="I225"/>
    <hyperlink r:id="rId302" ref="A226"/>
    <hyperlink r:id="rId303" ref="G226"/>
    <hyperlink r:id="rId304" ref="I226"/>
    <hyperlink r:id="rId305" ref="M226"/>
    <hyperlink r:id="rId306" ref="A227"/>
    <hyperlink r:id="rId307" ref="G227"/>
    <hyperlink r:id="rId308" ref="I227"/>
    <hyperlink r:id="rId309" ref="A228"/>
    <hyperlink r:id="rId310" ref="G228"/>
    <hyperlink r:id="rId311" ref="I228"/>
    <hyperlink r:id="rId312" ref="A229"/>
    <hyperlink r:id="rId313" ref="I229"/>
    <hyperlink r:id="rId314" ref="A230"/>
    <hyperlink r:id="rId315" ref="I230"/>
    <hyperlink r:id="rId316" ref="A231"/>
    <hyperlink r:id="rId317" ref="I231"/>
    <hyperlink r:id="rId318" ref="I232"/>
    <hyperlink r:id="rId319" ref="A233"/>
    <hyperlink r:id="rId320" ref="G233"/>
    <hyperlink r:id="rId321" ref="I233"/>
    <hyperlink r:id="rId322" ref="A234"/>
    <hyperlink r:id="rId323" ref="G234"/>
    <hyperlink r:id="rId324" ref="I234"/>
    <hyperlink r:id="rId325" ref="A235"/>
    <hyperlink r:id="rId326" ref="G235"/>
    <hyperlink r:id="rId327" ref="I235"/>
    <hyperlink r:id="rId328" ref="A236"/>
    <hyperlink r:id="rId329" ref="G236"/>
    <hyperlink r:id="rId330" ref="I236"/>
    <hyperlink r:id="rId331" ref="A237"/>
    <hyperlink r:id="rId332" ref="G237"/>
    <hyperlink r:id="rId333" ref="I237"/>
    <hyperlink r:id="rId334" ref="A238"/>
    <hyperlink r:id="rId335" ref="G238"/>
    <hyperlink r:id="rId336" ref="I238"/>
    <hyperlink r:id="rId337" ref="A239"/>
    <hyperlink r:id="rId338" ref="G239"/>
    <hyperlink r:id="rId339" ref="I239"/>
    <hyperlink r:id="rId340" ref="G240"/>
    <hyperlink r:id="rId341" ref="I240"/>
    <hyperlink r:id="rId342" ref="A241"/>
    <hyperlink r:id="rId343" ref="G241"/>
    <hyperlink r:id="rId344" ref="I241"/>
    <hyperlink r:id="rId345" ref="A242"/>
    <hyperlink r:id="rId346" ref="G242"/>
    <hyperlink r:id="rId347" ref="I242"/>
    <hyperlink r:id="rId348" ref="A243"/>
    <hyperlink r:id="rId349" ref="G243"/>
    <hyperlink r:id="rId350" ref="I243"/>
  </hyperlinks>
  <drawing r:id="rId3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75"/>
    <col customWidth="1" min="2" max="2" width="50.38"/>
    <col customWidth="1" min="3" max="3" width="12.25"/>
    <col customWidth="1" min="4" max="4" width="13.63"/>
    <col customWidth="1" min="5" max="5" width="10.0"/>
    <col customWidth="1" min="6" max="6" width="8.38"/>
    <col customWidth="1" min="7" max="7" width="19.75"/>
    <col customWidth="1" min="8" max="8" width="12.63"/>
    <col customWidth="1" min="9" max="9" width="13.63"/>
    <col customWidth="1" min="10" max="10" width="28.5"/>
    <col customWidth="1" min="11" max="11" width="9.13"/>
    <col customWidth="1" hidden="1" min="12" max="12" width="36.75"/>
    <col hidden="1" min="13" max="13" width="12.63"/>
    <col customWidth="1" min="14" max="14" width="11.63"/>
    <col customWidth="1" min="15" max="15" width="9.88"/>
    <col customWidth="1" min="16" max="16" width="8.13"/>
    <col customWidth="1" min="17" max="17" width="9.63"/>
    <col customWidth="1" min="18" max="18" width="9.0"/>
    <col customWidth="1" min="19" max="19" width="8.88"/>
    <col customWidth="1" min="20" max="20" width="7.88"/>
    <col customWidth="1" min="21" max="21" width="100.75"/>
  </cols>
  <sheetData>
    <row r="1">
      <c r="A1" s="1" t="s">
        <v>0</v>
      </c>
      <c r="B1" s="1" t="s">
        <v>1</v>
      </c>
      <c r="C1" s="1" t="s">
        <v>2</v>
      </c>
      <c r="D1" s="1" t="s">
        <v>3</v>
      </c>
      <c r="E1" s="1" t="s">
        <v>4</v>
      </c>
      <c r="F1" s="5" t="s">
        <v>14</v>
      </c>
      <c r="G1" s="1" t="s">
        <v>15</v>
      </c>
      <c r="H1" s="1" t="s">
        <v>9</v>
      </c>
      <c r="I1" s="4" t="s">
        <v>10</v>
      </c>
      <c r="J1" s="1" t="s">
        <v>16</v>
      </c>
      <c r="K1" s="1" t="s">
        <v>11</v>
      </c>
      <c r="L1" s="1" t="s">
        <v>7</v>
      </c>
      <c r="M1" s="1" t="s">
        <v>8</v>
      </c>
      <c r="N1" s="1" t="s">
        <v>17</v>
      </c>
      <c r="O1" s="1" t="s">
        <v>18</v>
      </c>
      <c r="P1" s="1" t="s">
        <v>19</v>
      </c>
      <c r="Q1" s="1" t="s">
        <v>22</v>
      </c>
      <c r="R1" s="1" t="s">
        <v>24</v>
      </c>
      <c r="S1" s="1" t="s">
        <v>26</v>
      </c>
      <c r="T1" s="1" t="s">
        <v>12</v>
      </c>
      <c r="U1" s="1" t="s">
        <v>13</v>
      </c>
    </row>
    <row r="2">
      <c r="A2" s="6" t="str">
        <f>HYPERLINK("http://www.hamasakula.com/","Hamasaku")</f>
        <v>Hamasaku</v>
      </c>
      <c r="B2" s="7" t="s">
        <v>20</v>
      </c>
      <c r="C2" s="2" t="s">
        <v>21</v>
      </c>
      <c r="D2" s="2">
        <v>1.0</v>
      </c>
      <c r="E2" s="2">
        <v>1.0</v>
      </c>
      <c r="F2" s="12">
        <v>18.0</v>
      </c>
      <c r="G2" s="2" t="s">
        <v>29</v>
      </c>
      <c r="H2" s="13" t="s">
        <v>28</v>
      </c>
      <c r="I2" s="14">
        <v>42631.0</v>
      </c>
      <c r="J2" s="17" t="str">
        <f t="shared" ref="J2:J293" si="1">HYPERLINK(H2,B2)</f>
        <v>$3 Sushi Vs. $250 Sushi</v>
      </c>
      <c r="K2" s="11" t="s">
        <v>30</v>
      </c>
      <c r="L2" s="11" t="str">
        <f>VLOOKUP(A2, Map!A:G,2)</f>
        <v>$5 Pizza Vs. $135 Pizza</v>
      </c>
      <c r="M2" s="11" t="s">
        <v>27</v>
      </c>
      <c r="N2" s="2" t="s">
        <v>39</v>
      </c>
      <c r="O2" s="2" t="s">
        <v>40</v>
      </c>
      <c r="P2" s="15"/>
      <c r="Q2" s="15"/>
      <c r="R2" s="15"/>
      <c r="S2" s="15"/>
      <c r="T2" s="15"/>
      <c r="U2" s="2" t="s">
        <v>31</v>
      </c>
    </row>
    <row r="3">
      <c r="A3" s="16" t="s">
        <v>32</v>
      </c>
      <c r="B3" s="7" t="s">
        <v>20</v>
      </c>
      <c r="C3" s="2" t="s">
        <v>33</v>
      </c>
      <c r="D3" s="2">
        <v>1.0</v>
      </c>
      <c r="E3" s="2">
        <v>1.0</v>
      </c>
      <c r="F3" s="12">
        <v>250.0</v>
      </c>
      <c r="G3" s="2" t="s">
        <v>50</v>
      </c>
      <c r="H3" s="13" t="s">
        <v>28</v>
      </c>
      <c r="I3" s="14">
        <v>42631.0</v>
      </c>
      <c r="J3" s="17" t="str">
        <f t="shared" si="1"/>
        <v>$3 Sushi Vs. $250 Sushi</v>
      </c>
      <c r="K3" s="2" t="s">
        <v>37</v>
      </c>
      <c r="L3" s="11" t="str">
        <f>VLOOKUP(A3, Map!A:G,2)</f>
        <v/>
      </c>
      <c r="M3" s="18" t="s">
        <v>36</v>
      </c>
      <c r="N3" s="2" t="s">
        <v>39</v>
      </c>
      <c r="O3" s="2" t="s">
        <v>40</v>
      </c>
      <c r="P3" s="2"/>
      <c r="Q3" s="2"/>
      <c r="R3" s="2"/>
      <c r="S3" s="2"/>
      <c r="T3" s="2" t="s">
        <v>51</v>
      </c>
      <c r="U3" s="2" t="s">
        <v>38</v>
      </c>
    </row>
    <row r="4">
      <c r="A4" s="6" t="str">
        <f t="shared" ref="A4:A7" si="2">HYPERLINK("https://sushistop.com/","Sushi Stop")</f>
        <v>Sushi Stop</v>
      </c>
      <c r="B4" s="7" t="s">
        <v>20</v>
      </c>
      <c r="C4" s="2" t="s">
        <v>41</v>
      </c>
      <c r="D4" s="2">
        <v>1.0</v>
      </c>
      <c r="E4" s="2">
        <v>1.0</v>
      </c>
      <c r="F4" s="12">
        <v>2.95</v>
      </c>
      <c r="G4" s="2" t="s">
        <v>52</v>
      </c>
      <c r="H4" s="13" t="s">
        <v>28</v>
      </c>
      <c r="I4" s="14">
        <v>42631.0</v>
      </c>
      <c r="J4" s="17" t="str">
        <f t="shared" si="1"/>
        <v>$3 Sushi Vs. $250 Sushi</v>
      </c>
      <c r="K4" s="2" t="s">
        <v>37</v>
      </c>
      <c r="L4" s="11" t="str">
        <f>VLOOKUP(A4, Map!A:G,2)</f>
        <v/>
      </c>
      <c r="M4" s="11" t="s">
        <v>44</v>
      </c>
      <c r="N4" s="2" t="s">
        <v>39</v>
      </c>
      <c r="O4" s="2" t="s">
        <v>40</v>
      </c>
      <c r="P4" s="2"/>
      <c r="Q4" s="2"/>
      <c r="R4" s="2"/>
      <c r="S4" s="2"/>
      <c r="T4" s="2" t="s">
        <v>51</v>
      </c>
      <c r="U4" s="15"/>
    </row>
    <row r="5">
      <c r="A5" s="6" t="str">
        <f t="shared" si="2"/>
        <v>Sushi Stop</v>
      </c>
      <c r="B5" s="7" t="s">
        <v>20</v>
      </c>
      <c r="C5" s="2" t="s">
        <v>41</v>
      </c>
      <c r="D5" s="2">
        <v>1.0</v>
      </c>
      <c r="E5" s="2">
        <v>1.0</v>
      </c>
      <c r="F5" s="12">
        <v>2.95</v>
      </c>
      <c r="G5" s="2" t="s">
        <v>57</v>
      </c>
      <c r="H5" s="13" t="s">
        <v>28</v>
      </c>
      <c r="I5" s="14">
        <v>42631.0</v>
      </c>
      <c r="J5" s="17" t="str">
        <f t="shared" si="1"/>
        <v>$3 Sushi Vs. $250 Sushi</v>
      </c>
      <c r="K5" s="2" t="s">
        <v>37</v>
      </c>
      <c r="L5" s="11" t="str">
        <f>VLOOKUP(A5, Map!A:G,2)</f>
        <v/>
      </c>
      <c r="M5" s="11" t="s">
        <v>44</v>
      </c>
      <c r="N5" s="2" t="s">
        <v>39</v>
      </c>
      <c r="O5" s="2" t="s">
        <v>40</v>
      </c>
      <c r="P5" s="2"/>
      <c r="Q5" s="2"/>
      <c r="R5" s="2"/>
      <c r="S5" s="2"/>
      <c r="T5" s="2" t="s">
        <v>51</v>
      </c>
      <c r="U5" s="15"/>
    </row>
    <row r="6">
      <c r="A6" s="6" t="str">
        <f t="shared" si="2"/>
        <v>Sushi Stop</v>
      </c>
      <c r="B6" s="7" t="s">
        <v>20</v>
      </c>
      <c r="C6" s="2" t="s">
        <v>41</v>
      </c>
      <c r="D6" s="2">
        <v>1.0</v>
      </c>
      <c r="E6" s="2">
        <v>1.0</v>
      </c>
      <c r="F6" s="12">
        <v>4.0</v>
      </c>
      <c r="G6" s="2" t="s">
        <v>60</v>
      </c>
      <c r="H6" s="13" t="s">
        <v>28</v>
      </c>
      <c r="I6" s="14">
        <v>42631.0</v>
      </c>
      <c r="J6" s="17" t="str">
        <f t="shared" si="1"/>
        <v>$3 Sushi Vs. $250 Sushi</v>
      </c>
      <c r="K6" s="2" t="s">
        <v>37</v>
      </c>
      <c r="L6" s="11" t="str">
        <f>VLOOKUP(A6, Map!A:G,2)</f>
        <v/>
      </c>
      <c r="M6" s="11" t="s">
        <v>44</v>
      </c>
      <c r="N6" s="2" t="s">
        <v>39</v>
      </c>
      <c r="O6" s="2" t="s">
        <v>40</v>
      </c>
      <c r="P6" s="2"/>
      <c r="Q6" s="2"/>
      <c r="R6" s="2"/>
      <c r="S6" s="2"/>
      <c r="T6" s="2" t="s">
        <v>51</v>
      </c>
      <c r="U6" s="15"/>
    </row>
    <row r="7">
      <c r="A7" s="6" t="str">
        <f t="shared" si="2"/>
        <v>Sushi Stop</v>
      </c>
      <c r="B7" s="7" t="s">
        <v>20</v>
      </c>
      <c r="C7" s="2" t="s">
        <v>41</v>
      </c>
      <c r="D7" s="2">
        <v>1.0</v>
      </c>
      <c r="E7" s="2">
        <v>1.0</v>
      </c>
      <c r="F7" s="12">
        <v>6.0</v>
      </c>
      <c r="G7" s="2" t="s">
        <v>66</v>
      </c>
      <c r="H7" s="13" t="s">
        <v>28</v>
      </c>
      <c r="I7" s="14">
        <v>42631.0</v>
      </c>
      <c r="J7" s="17" t="str">
        <f t="shared" si="1"/>
        <v>$3 Sushi Vs. $250 Sushi</v>
      </c>
      <c r="K7" s="2" t="s">
        <v>37</v>
      </c>
      <c r="L7" s="11" t="str">
        <f>VLOOKUP(A7, Map!A:G,2)</f>
        <v/>
      </c>
      <c r="M7" s="11" t="s">
        <v>44</v>
      </c>
      <c r="N7" s="2" t="s">
        <v>39</v>
      </c>
      <c r="O7" s="2" t="s">
        <v>40</v>
      </c>
      <c r="P7" s="2"/>
      <c r="Q7" s="2"/>
      <c r="R7" s="2"/>
      <c r="S7" s="2"/>
      <c r="T7" s="2" t="s">
        <v>51</v>
      </c>
      <c r="U7" s="15"/>
    </row>
    <row r="8">
      <c r="A8" s="6" t="str">
        <f>HYPERLINK("https://www.caesars.com/paris-las-vegas/restaurants/burger-brasserie","Burger Brasserie")</f>
        <v>Burger Brasserie</v>
      </c>
      <c r="B8" s="7" t="s">
        <v>45</v>
      </c>
      <c r="C8" s="2" t="s">
        <v>33</v>
      </c>
      <c r="D8" s="2">
        <v>1.0</v>
      </c>
      <c r="E8" s="2">
        <v>2.0</v>
      </c>
      <c r="F8" s="12">
        <v>777.0</v>
      </c>
      <c r="G8" s="2" t="s">
        <v>67</v>
      </c>
      <c r="H8" s="13" t="s">
        <v>49</v>
      </c>
      <c r="I8" s="14">
        <v>42638.0</v>
      </c>
      <c r="J8" s="17" t="str">
        <f t="shared" si="1"/>
        <v>$4 Burger Vs. $777 Burger</v>
      </c>
      <c r="K8" s="11" t="s">
        <v>30</v>
      </c>
      <c r="L8" s="11" t="str">
        <f>VLOOKUP(A8, Map!A:G,2)</f>
        <v>$5 Pizza Vs. $135 Pizza</v>
      </c>
      <c r="M8" s="11" t="s">
        <v>48</v>
      </c>
      <c r="N8" s="2" t="s">
        <v>76</v>
      </c>
      <c r="O8" s="2" t="s">
        <v>40</v>
      </c>
      <c r="P8" s="2"/>
      <c r="Q8" s="2"/>
      <c r="R8" s="2"/>
      <c r="S8" s="2"/>
      <c r="T8" s="2" t="s">
        <v>51</v>
      </c>
      <c r="U8" s="15"/>
    </row>
    <row r="9">
      <c r="A9" s="6" t="str">
        <f>HYPERLINK("https://www.caesars.com/planet-hollywood/restaurants/ramsay","Gordon Ramsay Burger")</f>
        <v>Gordon Ramsay Burger</v>
      </c>
      <c r="B9" s="7" t="s">
        <v>45</v>
      </c>
      <c r="C9" s="2" t="s">
        <v>21</v>
      </c>
      <c r="D9" s="2">
        <v>1.0</v>
      </c>
      <c r="E9" s="2">
        <v>2.0</v>
      </c>
      <c r="F9" s="12">
        <v>18.0</v>
      </c>
      <c r="G9" s="2" t="s">
        <v>81</v>
      </c>
      <c r="H9" s="13" t="s">
        <v>49</v>
      </c>
      <c r="I9" s="14">
        <v>42638.0</v>
      </c>
      <c r="J9" s="17" t="str">
        <f t="shared" si="1"/>
        <v>$4 Burger Vs. $777 Burger</v>
      </c>
      <c r="K9" s="11" t="s">
        <v>30</v>
      </c>
      <c r="L9" s="11" t="str">
        <f>VLOOKUP(A9, Map!A:G,2)</f>
        <v>$5 Pizza Vs. $135 Pizza</v>
      </c>
      <c r="M9" s="11" t="s">
        <v>55</v>
      </c>
      <c r="N9" s="2" t="s">
        <v>76</v>
      </c>
      <c r="O9" s="2" t="s">
        <v>40</v>
      </c>
      <c r="P9" s="2"/>
      <c r="Q9" s="2"/>
      <c r="R9" s="2"/>
      <c r="S9" s="2"/>
      <c r="T9" s="2" t="s">
        <v>51</v>
      </c>
      <c r="U9" s="15"/>
    </row>
    <row r="10">
      <c r="A10" s="6" t="str">
        <f>HYPERLINK("https://www.habitburger.com/","Habit Burger")</f>
        <v>Habit Burger</v>
      </c>
      <c r="B10" s="7" t="s">
        <v>45</v>
      </c>
      <c r="C10" s="2" t="s">
        <v>41</v>
      </c>
      <c r="D10" s="2">
        <v>1.0</v>
      </c>
      <c r="E10" s="2">
        <v>2.0</v>
      </c>
      <c r="F10" s="12">
        <v>4.15</v>
      </c>
      <c r="G10" s="2" t="s">
        <v>87</v>
      </c>
      <c r="H10" s="13" t="s">
        <v>49</v>
      </c>
      <c r="I10" s="14">
        <v>42638.0</v>
      </c>
      <c r="J10" s="17" t="str">
        <f t="shared" si="1"/>
        <v>$4 Burger Vs. $777 Burger</v>
      </c>
      <c r="K10" s="2" t="s">
        <v>37</v>
      </c>
      <c r="L10" s="11" t="str">
        <f>VLOOKUP(A10, Map!A:G,2)</f>
        <v>$5 Pizza Vs. $135 Pizza</v>
      </c>
      <c r="M10" s="19" t="s">
        <v>59</v>
      </c>
      <c r="N10" s="2" t="s">
        <v>76</v>
      </c>
      <c r="O10" s="2" t="s">
        <v>40</v>
      </c>
      <c r="P10" s="15"/>
      <c r="Q10" s="15"/>
      <c r="R10" s="15"/>
      <c r="S10" s="15"/>
      <c r="T10" s="15"/>
      <c r="U10" s="15"/>
    </row>
    <row r="11">
      <c r="A11" s="6" t="str">
        <f t="shared" ref="A11:A12" si="3">HYPERLINK("https://www.blazepizza.com/locations/los-angeles-usc/","Blaze Pizza")</f>
        <v>Blaze Pizza</v>
      </c>
      <c r="B11" s="7" t="s">
        <v>61</v>
      </c>
      <c r="C11" s="2" t="s">
        <v>41</v>
      </c>
      <c r="D11" s="2">
        <v>1.0</v>
      </c>
      <c r="E11" s="2">
        <v>3.0</v>
      </c>
      <c r="F11" s="12">
        <v>5.25</v>
      </c>
      <c r="G11" s="2" t="s">
        <v>88</v>
      </c>
      <c r="H11" s="13" t="s">
        <v>65</v>
      </c>
      <c r="I11" s="14">
        <v>42645.0</v>
      </c>
      <c r="J11" s="17" t="str">
        <f t="shared" si="1"/>
        <v>$5 Pizza Vs. $135 Pizza</v>
      </c>
      <c r="K11" s="2" t="s">
        <v>37</v>
      </c>
      <c r="L11" s="11" t="str">
        <f>VLOOKUP(A11, Map!A:G,2)</f>
        <v>$5 Pizza Vs. $135 Pizza</v>
      </c>
      <c r="M11" s="11" t="s">
        <v>64</v>
      </c>
      <c r="N11" s="2" t="s">
        <v>39</v>
      </c>
      <c r="O11" s="2" t="s">
        <v>40</v>
      </c>
      <c r="P11" s="15"/>
      <c r="Q11" s="15"/>
      <c r="R11" s="15"/>
      <c r="S11" s="15"/>
      <c r="T11" s="15"/>
      <c r="U11" s="15"/>
    </row>
    <row r="12">
      <c r="A12" s="6" t="str">
        <f t="shared" si="3"/>
        <v>Blaze Pizza</v>
      </c>
      <c r="B12" s="7" t="s">
        <v>61</v>
      </c>
      <c r="C12" s="2" t="s">
        <v>41</v>
      </c>
      <c r="D12" s="2">
        <v>1.0</v>
      </c>
      <c r="E12" s="2">
        <v>3.0</v>
      </c>
      <c r="F12" s="12">
        <v>7.95</v>
      </c>
      <c r="G12" s="2" t="s">
        <v>100</v>
      </c>
      <c r="H12" s="13" t="s">
        <v>65</v>
      </c>
      <c r="I12" s="14">
        <v>42645.0</v>
      </c>
      <c r="J12" s="17" t="str">
        <f t="shared" si="1"/>
        <v>$5 Pizza Vs. $135 Pizza</v>
      </c>
      <c r="K12" s="2" t="s">
        <v>37</v>
      </c>
      <c r="L12" s="11" t="str">
        <f>VLOOKUP(A12, Map!A:G,2)</f>
        <v>$5 Pizza Vs. $135 Pizza</v>
      </c>
      <c r="M12" s="11" t="s">
        <v>64</v>
      </c>
      <c r="N12" s="2" t="s">
        <v>39</v>
      </c>
      <c r="O12" s="2" t="s">
        <v>40</v>
      </c>
      <c r="P12" s="15"/>
      <c r="Q12" s="15"/>
      <c r="R12" s="15"/>
      <c r="S12" s="15"/>
      <c r="T12" s="15"/>
      <c r="U12" s="15"/>
    </row>
    <row r="13">
      <c r="A13" s="6" t="str">
        <f>HYPERLINK("https://pizzeriamozza.com/","Pizzeria Mozza")</f>
        <v>Pizzeria Mozza</v>
      </c>
      <c r="B13" s="7" t="s">
        <v>61</v>
      </c>
      <c r="C13" s="2" t="s">
        <v>21</v>
      </c>
      <c r="D13" s="2">
        <v>1.0</v>
      </c>
      <c r="E13" s="2">
        <v>3.0</v>
      </c>
      <c r="F13" s="12">
        <v>23.0</v>
      </c>
      <c r="G13" s="2" t="s">
        <v>104</v>
      </c>
      <c r="H13" s="13" t="s">
        <v>65</v>
      </c>
      <c r="I13" s="14">
        <v>42645.0</v>
      </c>
      <c r="J13" s="17" t="str">
        <f t="shared" si="1"/>
        <v>$5 Pizza Vs. $135 Pizza</v>
      </c>
      <c r="K13" s="11" t="s">
        <v>30</v>
      </c>
      <c r="L13" s="11" t="str">
        <f>VLOOKUP(A13, Map!A:G,2)</f>
        <v>$15 Spaghetti Vs. $143 Spaghetti</v>
      </c>
      <c r="M13" s="11" t="s">
        <v>70</v>
      </c>
      <c r="N13" s="2" t="s">
        <v>39</v>
      </c>
      <c r="O13" s="2" t="s">
        <v>40</v>
      </c>
      <c r="P13" s="2"/>
      <c r="Q13" s="2"/>
      <c r="R13" s="2"/>
      <c r="S13" s="2"/>
      <c r="T13" s="2" t="s">
        <v>108</v>
      </c>
      <c r="U13" s="15"/>
    </row>
    <row r="14">
      <c r="A14" s="6" t="str">
        <f>HYPERLINK("www.wolfgangpuck.com/dining/spago/","Spago")</f>
        <v>Spago</v>
      </c>
      <c r="B14" s="7" t="s">
        <v>61</v>
      </c>
      <c r="C14" s="2" t="s">
        <v>33</v>
      </c>
      <c r="D14" s="2">
        <v>1.0</v>
      </c>
      <c r="E14" s="2">
        <v>3.0</v>
      </c>
      <c r="F14" s="12">
        <v>135.0</v>
      </c>
      <c r="G14" s="2" t="s">
        <v>114</v>
      </c>
      <c r="H14" s="13" t="s">
        <v>65</v>
      </c>
      <c r="I14" s="14">
        <v>42645.0</v>
      </c>
      <c r="J14" s="17" t="str">
        <f t="shared" si="1"/>
        <v>$5 Pizza Vs. $135 Pizza</v>
      </c>
      <c r="K14" s="11" t="s">
        <v>30</v>
      </c>
      <c r="L14" s="11" t="str">
        <f>VLOOKUP(A14, Map!A:G,2)</f>
        <v/>
      </c>
      <c r="M14" s="11" t="s">
        <v>77</v>
      </c>
      <c r="N14" s="2" t="s">
        <v>39</v>
      </c>
      <c r="O14" s="2" t="s">
        <v>40</v>
      </c>
      <c r="P14" s="15"/>
      <c r="Q14" s="15"/>
      <c r="R14" s="15"/>
      <c r="S14" s="15"/>
      <c r="T14" s="15"/>
      <c r="U14" s="15"/>
    </row>
    <row r="15">
      <c r="A15" s="6" t="str">
        <f>HYPERLINK("http://wolfgangpuck.com/dining/cut-beverly-hills/","CUT")</f>
        <v>CUT</v>
      </c>
      <c r="B15" s="7" t="s">
        <v>82</v>
      </c>
      <c r="C15" s="2" t="s">
        <v>33</v>
      </c>
      <c r="D15" s="2">
        <v>1.0</v>
      </c>
      <c r="E15" s="2">
        <v>4.0</v>
      </c>
      <c r="F15" s="12">
        <v>306.0</v>
      </c>
      <c r="G15" s="2" t="s">
        <v>115</v>
      </c>
      <c r="H15" s="13" t="s">
        <v>86</v>
      </c>
      <c r="I15" s="14">
        <v>42659.0</v>
      </c>
      <c r="J15" s="17" t="str">
        <f t="shared" si="1"/>
        <v>$11 Steak Vs. $306 Steak</v>
      </c>
      <c r="K15" s="11" t="s">
        <v>30</v>
      </c>
      <c r="L15" s="11" t="str">
        <f>VLOOKUP(A15, Map!A:G,2)</f>
        <v>$5 Pizza Vs. $135 Pizza</v>
      </c>
      <c r="M15" s="11" t="s">
        <v>85</v>
      </c>
      <c r="N15" s="2" t="s">
        <v>39</v>
      </c>
      <c r="O15" s="2" t="s">
        <v>40</v>
      </c>
      <c r="P15" s="2"/>
      <c r="Q15" s="2"/>
      <c r="R15" s="2"/>
      <c r="S15" s="2"/>
      <c r="T15" s="2" t="s">
        <v>51</v>
      </c>
      <c r="U15" s="15"/>
    </row>
    <row r="16">
      <c r="A16" s="6" t="str">
        <f>HYPERLINK("https://www.patinagroup.com/nick-and-stefs-steakhouse-la","Nick &amp; Stef's Steakhouse")</f>
        <v>Nick &amp; Stef's Steakhouse</v>
      </c>
      <c r="B16" s="7" t="s">
        <v>82</v>
      </c>
      <c r="C16" s="2" t="s">
        <v>21</v>
      </c>
      <c r="D16" s="2">
        <v>1.0</v>
      </c>
      <c r="E16" s="2">
        <v>4.0</v>
      </c>
      <c r="F16" s="12">
        <v>72.0</v>
      </c>
      <c r="G16" s="2" t="s">
        <v>126</v>
      </c>
      <c r="H16" s="13" t="s">
        <v>86</v>
      </c>
      <c r="I16" s="14">
        <v>42659.0</v>
      </c>
      <c r="J16" s="17" t="str">
        <f t="shared" si="1"/>
        <v>$11 Steak Vs. $306 Steak</v>
      </c>
      <c r="K16" s="11" t="s">
        <v>30</v>
      </c>
      <c r="L16" s="11" t="str">
        <f>VLOOKUP(A16, Map!A:G,2)</f>
        <v>$15 Spaghetti Vs. $143 Spaghetti</v>
      </c>
      <c r="M16" s="11" t="s">
        <v>91</v>
      </c>
      <c r="N16" s="2" t="s">
        <v>39</v>
      </c>
      <c r="O16" s="2" t="s">
        <v>40</v>
      </c>
      <c r="P16" s="2"/>
      <c r="Q16" s="2"/>
      <c r="R16" s="2"/>
      <c r="S16" s="2"/>
      <c r="T16" s="2" t="s">
        <v>51</v>
      </c>
      <c r="U16" s="15"/>
    </row>
    <row r="17">
      <c r="A17" s="6" t="str">
        <f>HYPERLINK("https://unclejohnsdtla.com/","Uncle John's Cafe")</f>
        <v>Uncle John's Cafe</v>
      </c>
      <c r="B17" s="7" t="s">
        <v>82</v>
      </c>
      <c r="C17" s="2" t="s">
        <v>41</v>
      </c>
      <c r="D17" s="2">
        <v>1.0</v>
      </c>
      <c r="E17" s="2">
        <v>4.0</v>
      </c>
      <c r="F17" s="12">
        <v>11.0</v>
      </c>
      <c r="G17" s="2" t="s">
        <v>132</v>
      </c>
      <c r="H17" s="13" t="s">
        <v>86</v>
      </c>
      <c r="I17" s="14">
        <v>42659.0</v>
      </c>
      <c r="J17" s="17" t="str">
        <f t="shared" si="1"/>
        <v>$11 Steak Vs. $306 Steak</v>
      </c>
      <c r="K17" s="11" t="s">
        <v>30</v>
      </c>
      <c r="L17" s="11" t="str">
        <f>VLOOKUP(A17, Map!A:G,2)</f>
        <v/>
      </c>
      <c r="M17" s="11" t="s">
        <v>94</v>
      </c>
      <c r="N17" s="2" t="s">
        <v>39</v>
      </c>
      <c r="O17" s="2" t="s">
        <v>40</v>
      </c>
      <c r="P17" s="2"/>
      <c r="Q17" s="2"/>
      <c r="R17" s="2"/>
      <c r="S17" s="2"/>
      <c r="T17" s="2" t="s">
        <v>51</v>
      </c>
      <c r="U17" s="15"/>
    </row>
    <row r="18">
      <c r="A18" s="6" t="str">
        <f>HYPERLINK("http://lepetitparisla.com/","Le Petit Paris")</f>
        <v>Le Petit Paris</v>
      </c>
      <c r="B18" s="7" t="s">
        <v>95</v>
      </c>
      <c r="C18" s="2" t="s">
        <v>33</v>
      </c>
      <c r="D18" s="2">
        <v>1.0</v>
      </c>
      <c r="E18" s="2">
        <v>5.0</v>
      </c>
      <c r="F18" s="12">
        <v>100.0</v>
      </c>
      <c r="G18" s="2" t="s">
        <v>135</v>
      </c>
      <c r="H18" s="13" t="s">
        <v>99</v>
      </c>
      <c r="I18" s="14">
        <v>42673.0</v>
      </c>
      <c r="J18" s="17" t="str">
        <f t="shared" si="1"/>
        <v>$8 Pasta Vs. $100 Pasta</v>
      </c>
      <c r="K18" s="11" t="s">
        <v>30</v>
      </c>
      <c r="L18" s="11" t="str">
        <f>VLOOKUP(A18, Map!A:G,2)</f>
        <v>$5 Pizza Vs. $135 Pizza</v>
      </c>
      <c r="M18" s="11" t="s">
        <v>98</v>
      </c>
      <c r="N18" s="2" t="s">
        <v>39</v>
      </c>
      <c r="O18" s="2" t="s">
        <v>40</v>
      </c>
      <c r="P18" s="15"/>
      <c r="Q18" s="15"/>
      <c r="R18" s="15"/>
      <c r="S18" s="15"/>
      <c r="T18" s="15"/>
      <c r="U18" s="15"/>
    </row>
    <row r="19">
      <c r="A19" s="6" t="str">
        <f t="shared" ref="A19:A20" si="4">HYPERLINK("https://www.osteriamamma.com/","Osteria Mamma")</f>
        <v>Osteria Mamma</v>
      </c>
      <c r="B19" s="7" t="s">
        <v>95</v>
      </c>
      <c r="C19" s="2" t="s">
        <v>21</v>
      </c>
      <c r="D19" s="2">
        <v>1.0</v>
      </c>
      <c r="E19" s="2">
        <v>5.0</v>
      </c>
      <c r="F19" s="12">
        <v>19.25</v>
      </c>
      <c r="G19" s="2" t="s">
        <v>143</v>
      </c>
      <c r="H19" s="13" t="s">
        <v>99</v>
      </c>
      <c r="I19" s="14">
        <v>42673.0</v>
      </c>
      <c r="J19" s="17" t="str">
        <f t="shared" si="1"/>
        <v>$8 Pasta Vs. $100 Pasta</v>
      </c>
      <c r="K19" s="11" t="s">
        <v>30</v>
      </c>
      <c r="L19" s="11" t="str">
        <f>VLOOKUP(A19, Map!A:G,2)</f>
        <v>$15 Spaghetti Vs. $143 Spaghetti</v>
      </c>
      <c r="M19" s="11" t="s">
        <v>103</v>
      </c>
      <c r="N19" s="2" t="s">
        <v>39</v>
      </c>
      <c r="O19" s="2" t="s">
        <v>40</v>
      </c>
      <c r="P19" s="15"/>
      <c r="Q19" s="15"/>
      <c r="R19" s="15"/>
      <c r="S19" s="15"/>
      <c r="T19" s="15"/>
      <c r="U19" s="15"/>
    </row>
    <row r="20">
      <c r="A20" s="6" t="str">
        <f t="shared" si="4"/>
        <v>Osteria Mamma</v>
      </c>
      <c r="B20" s="7" t="s">
        <v>95</v>
      </c>
      <c r="C20" s="2" t="s">
        <v>21</v>
      </c>
      <c r="D20" s="2">
        <v>1.0</v>
      </c>
      <c r="E20" s="2">
        <v>5.0</v>
      </c>
      <c r="F20" s="12">
        <v>19.75</v>
      </c>
      <c r="G20" s="2" t="s">
        <v>144</v>
      </c>
      <c r="H20" s="13" t="s">
        <v>99</v>
      </c>
      <c r="I20" s="14">
        <v>42673.0</v>
      </c>
      <c r="J20" s="17" t="str">
        <f t="shared" si="1"/>
        <v>$8 Pasta Vs. $100 Pasta</v>
      </c>
      <c r="K20" s="11" t="s">
        <v>30</v>
      </c>
      <c r="L20" s="11" t="str">
        <f>VLOOKUP(A20, Map!A:G,2)</f>
        <v>$15 Spaghetti Vs. $143 Spaghetti</v>
      </c>
      <c r="M20" s="11" t="s">
        <v>103</v>
      </c>
      <c r="N20" s="2" t="s">
        <v>39</v>
      </c>
      <c r="O20" s="2" t="s">
        <v>40</v>
      </c>
      <c r="P20" s="15"/>
      <c r="Q20" s="15"/>
      <c r="R20" s="15"/>
      <c r="S20" s="15"/>
      <c r="T20" s="15"/>
      <c r="U20" s="15"/>
    </row>
    <row r="21">
      <c r="A21" s="6" t="str">
        <f t="shared" ref="A21:A23" si="5">HYPERLINK("https://www.pastasisters.com/","Pasta Sisters")</f>
        <v>Pasta Sisters</v>
      </c>
      <c r="B21" s="7" t="s">
        <v>95</v>
      </c>
      <c r="C21" s="2" t="s">
        <v>41</v>
      </c>
      <c r="D21" s="2">
        <v>1.0</v>
      </c>
      <c r="E21" s="2">
        <v>5.0</v>
      </c>
      <c r="F21" s="12">
        <v>8.25</v>
      </c>
      <c r="G21" s="2" t="s">
        <v>156</v>
      </c>
      <c r="H21" s="13" t="s">
        <v>99</v>
      </c>
      <c r="I21" s="14">
        <v>42673.0</v>
      </c>
      <c r="J21" s="17" t="str">
        <f t="shared" si="1"/>
        <v>$8 Pasta Vs. $100 Pasta</v>
      </c>
      <c r="K21" s="2" t="s">
        <v>37</v>
      </c>
      <c r="L21" s="11" t="str">
        <f>VLOOKUP(A21, Map!A:G,2)</f>
        <v>$15 Spaghetti Vs. $143 Spaghetti</v>
      </c>
      <c r="M21" s="11" t="s">
        <v>107</v>
      </c>
      <c r="N21" s="2" t="s">
        <v>39</v>
      </c>
      <c r="O21" s="2" t="s">
        <v>40</v>
      </c>
      <c r="P21" s="2"/>
      <c r="Q21" s="2"/>
      <c r="R21" s="2"/>
      <c r="S21" s="2"/>
      <c r="T21" s="2" t="s">
        <v>158</v>
      </c>
      <c r="U21" s="15"/>
    </row>
    <row r="22">
      <c r="A22" s="6" t="str">
        <f t="shared" si="5"/>
        <v>Pasta Sisters</v>
      </c>
      <c r="B22" s="7" t="s">
        <v>95</v>
      </c>
      <c r="C22" s="2" t="s">
        <v>41</v>
      </c>
      <c r="D22" s="2">
        <v>1.0</v>
      </c>
      <c r="E22" s="2">
        <v>5.0</v>
      </c>
      <c r="F22" s="12">
        <v>12.5</v>
      </c>
      <c r="G22" s="2" t="s">
        <v>159</v>
      </c>
      <c r="H22" s="13" t="s">
        <v>99</v>
      </c>
      <c r="I22" s="14">
        <v>42673.0</v>
      </c>
      <c r="J22" s="17" t="str">
        <f t="shared" si="1"/>
        <v>$8 Pasta Vs. $100 Pasta</v>
      </c>
      <c r="K22" s="2" t="s">
        <v>37</v>
      </c>
      <c r="L22" s="11" t="str">
        <f>VLOOKUP(A22, Map!A:G,2)</f>
        <v>$15 Spaghetti Vs. $143 Spaghetti</v>
      </c>
      <c r="M22" s="11" t="s">
        <v>107</v>
      </c>
      <c r="N22" s="2" t="s">
        <v>39</v>
      </c>
      <c r="O22" s="2" t="s">
        <v>40</v>
      </c>
      <c r="P22" s="2"/>
      <c r="Q22" s="2"/>
      <c r="R22" s="2"/>
      <c r="S22" s="2"/>
      <c r="T22" s="2" t="s">
        <v>158</v>
      </c>
      <c r="U22" s="15"/>
    </row>
    <row r="23">
      <c r="A23" s="6" t="str">
        <f t="shared" si="5"/>
        <v>Pasta Sisters</v>
      </c>
      <c r="B23" s="7" t="s">
        <v>95</v>
      </c>
      <c r="C23" s="2" t="s">
        <v>41</v>
      </c>
      <c r="D23" s="2">
        <v>1.0</v>
      </c>
      <c r="E23" s="2">
        <v>5.0</v>
      </c>
      <c r="F23" s="12">
        <v>15.25</v>
      </c>
      <c r="G23" s="2" t="s">
        <v>167</v>
      </c>
      <c r="H23" s="13" t="s">
        <v>99</v>
      </c>
      <c r="I23" s="14">
        <v>42673.0</v>
      </c>
      <c r="J23" s="17" t="str">
        <f t="shared" si="1"/>
        <v>$8 Pasta Vs. $100 Pasta</v>
      </c>
      <c r="K23" s="2" t="s">
        <v>37</v>
      </c>
      <c r="L23" s="11" t="str">
        <f>VLOOKUP(A23, Map!A:G,2)</f>
        <v>$15 Spaghetti Vs. $143 Spaghetti</v>
      </c>
      <c r="M23" s="11" t="s">
        <v>107</v>
      </c>
      <c r="N23" s="2" t="s">
        <v>39</v>
      </c>
      <c r="O23" s="2" t="s">
        <v>40</v>
      </c>
      <c r="P23" s="2"/>
      <c r="Q23" s="2"/>
      <c r="R23" s="2"/>
      <c r="S23" s="2"/>
      <c r="T23" s="2" t="s">
        <v>158</v>
      </c>
      <c r="U23" s="15"/>
    </row>
    <row r="24">
      <c r="A24" s="6" t="str">
        <f>HYPERLINK("https://www.tokyodog.com/","CLOSED Tokyo Dog")</f>
        <v>CLOSED Tokyo Dog</v>
      </c>
      <c r="B24" s="7" t="s">
        <v>109</v>
      </c>
      <c r="C24" s="2" t="s">
        <v>33</v>
      </c>
      <c r="D24" s="2">
        <v>1.0</v>
      </c>
      <c r="E24" s="2">
        <v>6.0</v>
      </c>
      <c r="F24" s="12">
        <v>169.0</v>
      </c>
      <c r="G24" s="2" t="s">
        <v>173</v>
      </c>
      <c r="H24" s="13" t="s">
        <v>113</v>
      </c>
      <c r="I24" s="14">
        <v>42693.0</v>
      </c>
      <c r="J24" s="17" t="str">
        <f t="shared" si="1"/>
        <v>$2 Hot Dog Vs. $169 Hot Dog</v>
      </c>
      <c r="K24" s="11" t="s">
        <v>30</v>
      </c>
      <c r="L24" s="11" t="str">
        <f>VLOOKUP(A24, Map!A:G,2)</f>
        <v>$5 Pizza Vs. $135 Pizza</v>
      </c>
      <c r="M24" s="11" t="s">
        <v>112</v>
      </c>
      <c r="N24" s="2" t="s">
        <v>177</v>
      </c>
      <c r="O24" s="2" t="s">
        <v>40</v>
      </c>
      <c r="P24" s="2"/>
      <c r="Q24" s="2"/>
      <c r="R24" s="2"/>
      <c r="S24" s="2"/>
      <c r="T24" s="2" t="s">
        <v>51</v>
      </c>
      <c r="U24" s="15"/>
    </row>
    <row r="25">
      <c r="A25" s="6" t="str">
        <f t="shared" ref="A25:A26" si="6">HYPERLINK("https://viciousdogshotdogs.com/","Vicious Dogs")</f>
        <v>Vicious Dogs</v>
      </c>
      <c r="B25" s="7" t="s">
        <v>109</v>
      </c>
      <c r="C25" s="2" t="s">
        <v>41</v>
      </c>
      <c r="D25" s="2">
        <v>1.0</v>
      </c>
      <c r="E25" s="2">
        <v>6.0</v>
      </c>
      <c r="F25" s="12">
        <v>2.0</v>
      </c>
      <c r="G25" s="2" t="s">
        <v>178</v>
      </c>
      <c r="H25" s="13" t="s">
        <v>113</v>
      </c>
      <c r="I25" s="14">
        <v>42693.0</v>
      </c>
      <c r="J25" s="17" t="str">
        <f t="shared" si="1"/>
        <v>$2 Hot Dog Vs. $169 Hot Dog</v>
      </c>
      <c r="K25" s="11" t="s">
        <v>30</v>
      </c>
      <c r="L25" s="11" t="str">
        <f>VLOOKUP(A25, Map!A:G,2)</f>
        <v/>
      </c>
      <c r="M25" s="11" t="s">
        <v>125</v>
      </c>
      <c r="N25" s="2" t="s">
        <v>39</v>
      </c>
      <c r="O25" s="2" t="s">
        <v>40</v>
      </c>
      <c r="P25" s="15"/>
      <c r="Q25" s="15"/>
      <c r="R25" s="15"/>
      <c r="S25" s="15"/>
      <c r="T25" s="15"/>
      <c r="U25" s="15"/>
    </row>
    <row r="26">
      <c r="A26" s="6" t="str">
        <f t="shared" si="6"/>
        <v>Vicious Dogs</v>
      </c>
      <c r="B26" s="7" t="s">
        <v>109</v>
      </c>
      <c r="C26" s="2" t="s">
        <v>41</v>
      </c>
      <c r="D26" s="2">
        <v>1.0</v>
      </c>
      <c r="E26" s="2">
        <v>6.0</v>
      </c>
      <c r="F26" s="12">
        <v>6.0</v>
      </c>
      <c r="G26" s="2" t="s">
        <v>185</v>
      </c>
      <c r="H26" s="13" t="s">
        <v>113</v>
      </c>
      <c r="I26" s="14">
        <v>42693.0</v>
      </c>
      <c r="J26" s="17" t="str">
        <f t="shared" si="1"/>
        <v>$2 Hot Dog Vs. $169 Hot Dog</v>
      </c>
      <c r="K26" s="11" t="s">
        <v>30</v>
      </c>
      <c r="L26" s="11" t="str">
        <f>VLOOKUP(A26, Map!A:G,2)</f>
        <v/>
      </c>
      <c r="M26" s="11" t="s">
        <v>125</v>
      </c>
      <c r="N26" s="2" t="s">
        <v>39</v>
      </c>
      <c r="O26" s="2" t="s">
        <v>40</v>
      </c>
      <c r="P26" s="15"/>
      <c r="Q26" s="15"/>
      <c r="R26" s="15"/>
      <c r="S26" s="15"/>
      <c r="T26" s="15"/>
      <c r="U26" s="15"/>
    </row>
    <row r="27">
      <c r="A27" s="6" t="str">
        <f t="shared" ref="A27:A28" si="7">HYPERLINK("https://www.wurstkuche.com/","Wurstküche")</f>
        <v>Wurstküche</v>
      </c>
      <c r="B27" s="7" t="s">
        <v>109</v>
      </c>
      <c r="C27" s="2" t="s">
        <v>21</v>
      </c>
      <c r="D27" s="2">
        <v>1.0</v>
      </c>
      <c r="E27" s="2">
        <v>6.0</v>
      </c>
      <c r="F27" s="12">
        <v>8.5</v>
      </c>
      <c r="G27" s="2" t="s">
        <v>189</v>
      </c>
      <c r="H27" s="13" t="s">
        <v>113</v>
      </c>
      <c r="I27" s="14">
        <v>42693.0</v>
      </c>
      <c r="J27" s="17" t="str">
        <f t="shared" si="1"/>
        <v>$2 Hot Dog Vs. $169 Hot Dog</v>
      </c>
      <c r="K27" s="2" t="s">
        <v>37</v>
      </c>
      <c r="L27" s="11" t="str">
        <f>VLOOKUP(A27, Map!A:G,2)</f>
        <v/>
      </c>
      <c r="M27" s="11" t="s">
        <v>129</v>
      </c>
      <c r="N27" s="2" t="s">
        <v>39</v>
      </c>
      <c r="O27" s="2" t="s">
        <v>40</v>
      </c>
      <c r="P27" s="2"/>
      <c r="Q27" s="2"/>
      <c r="R27" s="2"/>
      <c r="S27" s="2"/>
      <c r="T27" s="2" t="s">
        <v>51</v>
      </c>
      <c r="U27" s="15"/>
    </row>
    <row r="28">
      <c r="A28" s="6" t="str">
        <f t="shared" si="7"/>
        <v>Wurstküche</v>
      </c>
      <c r="B28" s="7" t="s">
        <v>109</v>
      </c>
      <c r="C28" s="2" t="s">
        <v>21</v>
      </c>
      <c r="D28" s="2">
        <v>1.0</v>
      </c>
      <c r="E28" s="2">
        <v>6.0</v>
      </c>
      <c r="F28" s="12">
        <v>8.5</v>
      </c>
      <c r="G28" s="2" t="s">
        <v>193</v>
      </c>
      <c r="H28" s="13" t="s">
        <v>113</v>
      </c>
      <c r="I28" s="14">
        <v>42693.0</v>
      </c>
      <c r="J28" s="17" t="str">
        <f t="shared" si="1"/>
        <v>$2 Hot Dog Vs. $169 Hot Dog</v>
      </c>
      <c r="K28" s="2" t="s">
        <v>37</v>
      </c>
      <c r="L28" s="11" t="str">
        <f>VLOOKUP(A28, Map!A:G,2)</f>
        <v/>
      </c>
      <c r="M28" s="11" t="s">
        <v>129</v>
      </c>
      <c r="N28" s="2" t="s">
        <v>39</v>
      </c>
      <c r="O28" s="2" t="s">
        <v>40</v>
      </c>
      <c r="P28" s="2"/>
      <c r="Q28" s="2"/>
      <c r="R28" s="2"/>
      <c r="S28" s="2"/>
      <c r="T28" s="2" t="s">
        <v>51</v>
      </c>
      <c r="U28" s="15"/>
    </row>
    <row r="29">
      <c r="A29" s="6" t="str">
        <f>HYPERLINK("https://elgaucho.com/dine/aqua/","Aqua By El Gaucho")</f>
        <v>Aqua By El Gaucho</v>
      </c>
      <c r="B29" s="22" t="s">
        <v>116</v>
      </c>
      <c r="C29" s="2" t="s">
        <v>33</v>
      </c>
      <c r="D29" s="2">
        <v>1.0</v>
      </c>
      <c r="E29" s="2">
        <v>7.0</v>
      </c>
      <c r="F29" s="12">
        <v>56.0</v>
      </c>
      <c r="G29" s="2" t="s">
        <v>197</v>
      </c>
      <c r="H29" s="13" t="s">
        <v>134</v>
      </c>
      <c r="I29" s="14">
        <v>42708.0</v>
      </c>
      <c r="J29" s="17" t="str">
        <f t="shared" si="1"/>
        <v>$8 Salmon vs $56 Salmon</v>
      </c>
      <c r="K29" s="11" t="s">
        <v>30</v>
      </c>
      <c r="L29" s="11" t="str">
        <f>VLOOKUP(A29, Map!A:G,2)</f>
        <v>#N/A</v>
      </c>
      <c r="M29" s="11" t="s">
        <v>133</v>
      </c>
      <c r="N29" s="2" t="s">
        <v>177</v>
      </c>
      <c r="O29" s="2" t="s">
        <v>40</v>
      </c>
      <c r="P29" s="15"/>
      <c r="Q29" s="15"/>
      <c r="R29" s="15"/>
      <c r="S29" s="15"/>
      <c r="T29" s="15"/>
      <c r="U29" s="15"/>
    </row>
    <row r="30">
      <c r="A30" s="6" t="str">
        <f>HYPERLINK("http://www.emeraldcityfishandchips.com/","Emerald City Fish &amp; Chips")</f>
        <v>Emerald City Fish &amp; Chips</v>
      </c>
      <c r="B30" s="22" t="s">
        <v>116</v>
      </c>
      <c r="C30" s="2" t="s">
        <v>41</v>
      </c>
      <c r="D30" s="2">
        <v>1.0</v>
      </c>
      <c r="E30" s="2">
        <v>7.0</v>
      </c>
      <c r="F30" s="12">
        <v>8.25</v>
      </c>
      <c r="G30" s="2" t="s">
        <v>207</v>
      </c>
      <c r="H30" s="13" t="s">
        <v>113</v>
      </c>
      <c r="I30" s="14">
        <v>42693.0</v>
      </c>
      <c r="J30" s="17" t="str">
        <f t="shared" si="1"/>
        <v>$8 Salmon vs $56 Salmon</v>
      </c>
      <c r="K30" s="11" t="s">
        <v>30</v>
      </c>
      <c r="L30" s="11" t="str">
        <f>VLOOKUP(A30, Map!A:G,2)</f>
        <v>$5 Pizza Vs. $135 Pizza</v>
      </c>
      <c r="M30" s="11" t="s">
        <v>119</v>
      </c>
      <c r="N30" s="2" t="s">
        <v>177</v>
      </c>
      <c r="O30" s="2" t="s">
        <v>40</v>
      </c>
      <c r="P30" s="2"/>
      <c r="Q30" s="2"/>
      <c r="R30" s="2"/>
      <c r="S30" s="2"/>
      <c r="T30" s="2" t="s">
        <v>108</v>
      </c>
      <c r="U30" s="15"/>
    </row>
    <row r="31">
      <c r="A31" s="6" t="str">
        <f>HYPERLINK("https://www.ivars.com/locations/salmon-house","Ivar's Salmon House")</f>
        <v>Ivar's Salmon House</v>
      </c>
      <c r="B31" s="22" t="s">
        <v>116</v>
      </c>
      <c r="C31" s="2" t="s">
        <v>21</v>
      </c>
      <c r="D31" s="2">
        <v>1.0</v>
      </c>
      <c r="E31" s="2">
        <v>7.0</v>
      </c>
      <c r="F31" s="12">
        <v>25.0</v>
      </c>
      <c r="G31" s="2" t="s">
        <v>215</v>
      </c>
      <c r="H31" s="13" t="s">
        <v>113</v>
      </c>
      <c r="I31" s="14">
        <v>42693.0</v>
      </c>
      <c r="J31" s="17" t="str">
        <f t="shared" si="1"/>
        <v>$8 Salmon vs $56 Salmon</v>
      </c>
      <c r="K31" s="11" t="s">
        <v>30</v>
      </c>
      <c r="L31" s="11" t="str">
        <f>VLOOKUP(A31, Map!A:G,2)</f>
        <v>$5 Pizza Vs. $135 Pizza</v>
      </c>
      <c r="M31" s="11" t="s">
        <v>122</v>
      </c>
      <c r="N31" s="2" t="s">
        <v>177</v>
      </c>
      <c r="O31" s="2" t="s">
        <v>40</v>
      </c>
      <c r="P31" s="15"/>
      <c r="Q31" s="15"/>
      <c r="R31" s="15"/>
      <c r="S31" s="15"/>
      <c r="T31" s="15"/>
      <c r="U31" s="15"/>
    </row>
    <row r="32">
      <c r="A32" s="6" t="str">
        <f>HYPERLINK("https://chosungalbee.com/","Chosun Galbee")</f>
        <v>Chosun Galbee</v>
      </c>
      <c r="B32" s="22" t="s">
        <v>136</v>
      </c>
      <c r="C32" s="2" t="s">
        <v>33</v>
      </c>
      <c r="D32" s="2">
        <v>1.0</v>
      </c>
      <c r="E32" s="2">
        <v>8.0</v>
      </c>
      <c r="F32" s="12">
        <v>345.91</v>
      </c>
      <c r="G32" s="2" t="s">
        <v>217</v>
      </c>
      <c r="H32" s="13" t="s">
        <v>140</v>
      </c>
      <c r="I32" s="14">
        <v>42722.0</v>
      </c>
      <c r="J32" s="17" t="str">
        <f t="shared" si="1"/>
        <v>$24 Korean BBQ vs $346 Korean BBQ</v>
      </c>
      <c r="K32" s="11" t="s">
        <v>30</v>
      </c>
      <c r="L32" s="11" t="str">
        <f>VLOOKUP(A32, Map!A:G,2)</f>
        <v>$5 Pizza Vs. $135 Pizza</v>
      </c>
      <c r="M32" s="11" t="s">
        <v>139</v>
      </c>
      <c r="N32" s="2" t="s">
        <v>39</v>
      </c>
      <c r="O32" s="2" t="s">
        <v>40</v>
      </c>
      <c r="P32" s="2"/>
      <c r="Q32" s="2"/>
      <c r="R32" s="2"/>
      <c r="S32" s="2"/>
      <c r="T32" s="2" t="s">
        <v>108</v>
      </c>
      <c r="U32" s="2" t="s">
        <v>141</v>
      </c>
    </row>
    <row r="33">
      <c r="A33" s="16" t="s">
        <v>142</v>
      </c>
      <c r="B33" s="22" t="s">
        <v>136</v>
      </c>
      <c r="C33" s="2" t="s">
        <v>41</v>
      </c>
      <c r="D33" s="2">
        <v>1.0</v>
      </c>
      <c r="E33" s="2">
        <v>8.0</v>
      </c>
      <c r="F33" s="12">
        <v>23.99</v>
      </c>
      <c r="G33" s="2" t="s">
        <v>217</v>
      </c>
      <c r="H33" s="13" t="s">
        <v>140</v>
      </c>
      <c r="I33" s="14">
        <v>42722.0</v>
      </c>
      <c r="J33" s="17" t="str">
        <f t="shared" si="1"/>
        <v>$24 Korean BBQ vs $346 Korean BBQ</v>
      </c>
      <c r="K33" s="11" t="s">
        <v>30</v>
      </c>
      <c r="L33" s="11" t="str">
        <f>VLOOKUP(A33, Map!A:G,2)</f>
        <v>$15 Spaghetti Vs. $143 Spaghetti</v>
      </c>
      <c r="M33" s="11" t="s">
        <v>147</v>
      </c>
      <c r="N33" s="2" t="s">
        <v>39</v>
      </c>
      <c r="O33" s="2" t="s">
        <v>40</v>
      </c>
      <c r="P33" s="2"/>
      <c r="Q33" s="2"/>
      <c r="R33" s="2"/>
      <c r="S33" s="2"/>
      <c r="T33" s="2" t="s">
        <v>51</v>
      </c>
      <c r="U33" s="2" t="s">
        <v>148</v>
      </c>
    </row>
    <row r="34">
      <c r="A34" s="6" t="str">
        <f>HYPERLINK("https://quarterskbbq.com/","Quarters")</f>
        <v>Quarters</v>
      </c>
      <c r="B34" s="22" t="s">
        <v>136</v>
      </c>
      <c r="C34" s="2" t="s">
        <v>21</v>
      </c>
      <c r="D34" s="2">
        <v>1.0</v>
      </c>
      <c r="E34" s="2">
        <v>8.0</v>
      </c>
      <c r="F34" s="12">
        <v>65.44</v>
      </c>
      <c r="G34" s="2" t="s">
        <v>217</v>
      </c>
      <c r="H34" s="13" t="s">
        <v>140</v>
      </c>
      <c r="I34" s="14">
        <v>42722.0</v>
      </c>
      <c r="J34" s="17" t="str">
        <f t="shared" si="1"/>
        <v>$24 Korean BBQ vs $346 Korean BBQ</v>
      </c>
      <c r="K34" s="11" t="s">
        <v>30</v>
      </c>
      <c r="L34" s="11" t="str">
        <f>VLOOKUP(A34, Map!A:G,2)</f>
        <v/>
      </c>
      <c r="M34" s="11" t="s">
        <v>151</v>
      </c>
      <c r="N34" s="2" t="s">
        <v>39</v>
      </c>
      <c r="O34" s="2" t="s">
        <v>40</v>
      </c>
      <c r="P34" s="2"/>
      <c r="Q34" s="2"/>
      <c r="R34" s="2"/>
      <c r="S34" s="2"/>
      <c r="T34" s="2" t="s">
        <v>51</v>
      </c>
      <c r="U34" s="15"/>
    </row>
    <row r="35">
      <c r="A35" s="6" t="str">
        <f>HYPERLINK("https://www.bottegalouie.com/","Bottega Louie")</f>
        <v>Bottega Louie</v>
      </c>
      <c r="B35" s="7" t="s">
        <v>152</v>
      </c>
      <c r="C35" s="2" t="s">
        <v>33</v>
      </c>
      <c r="D35" s="2">
        <v>1.0</v>
      </c>
      <c r="E35" s="2">
        <v>9.0</v>
      </c>
      <c r="F35" s="12">
        <v>1120.0</v>
      </c>
      <c r="G35" s="2" t="s">
        <v>240</v>
      </c>
      <c r="H35" s="13" t="s">
        <v>157</v>
      </c>
      <c r="I35" s="14">
        <v>42743.0</v>
      </c>
      <c r="J35" s="17" t="str">
        <f t="shared" si="1"/>
        <v>$27 Cake Vs. $1,120 Cake</v>
      </c>
      <c r="K35" s="11" t="s">
        <v>30</v>
      </c>
      <c r="L35" s="11" t="str">
        <f>VLOOKUP(A35, Map!A:G,2)</f>
        <v>$5 Pizza Vs. $135 Pizza</v>
      </c>
      <c r="M35" s="11" t="s">
        <v>155</v>
      </c>
      <c r="N35" s="2" t="s">
        <v>39</v>
      </c>
      <c r="O35" s="2" t="s">
        <v>40</v>
      </c>
      <c r="P35" s="15"/>
      <c r="Q35" s="15"/>
      <c r="R35" s="15"/>
      <c r="S35" s="15"/>
      <c r="T35" s="15"/>
      <c r="U35" s="15"/>
    </row>
    <row r="36">
      <c r="A36" s="6" t="str">
        <f>HYPERLINK("http://www.portosbakery.com/","Porto's Bakery")</f>
        <v>Porto's Bakery</v>
      </c>
      <c r="B36" s="7" t="s">
        <v>152</v>
      </c>
      <c r="C36" s="2" t="s">
        <v>41</v>
      </c>
      <c r="D36" s="2">
        <v>1.0</v>
      </c>
      <c r="E36" s="2">
        <v>9.0</v>
      </c>
      <c r="F36" s="12">
        <v>26.75</v>
      </c>
      <c r="G36" s="2" t="s">
        <v>252</v>
      </c>
      <c r="H36" s="13" t="s">
        <v>157</v>
      </c>
      <c r="I36" s="14">
        <v>42743.0</v>
      </c>
      <c r="J36" s="17" t="str">
        <f t="shared" si="1"/>
        <v>$27 Cake Vs. $1,120 Cake</v>
      </c>
      <c r="K36" s="2" t="s">
        <v>37</v>
      </c>
      <c r="L36" s="11" t="str">
        <f>VLOOKUP(A36, Map!A:G,2)</f>
        <v>$15 Spaghetti Vs. $143 Spaghetti</v>
      </c>
      <c r="M36" s="11" t="s">
        <v>162</v>
      </c>
      <c r="N36" s="2" t="s">
        <v>39</v>
      </c>
      <c r="O36" s="2" t="s">
        <v>40</v>
      </c>
      <c r="P36" s="2"/>
      <c r="Q36" s="2"/>
      <c r="R36" s="2"/>
      <c r="S36" s="2"/>
      <c r="T36" s="2" t="s">
        <v>51</v>
      </c>
      <c r="U36" s="2" t="s">
        <v>163</v>
      </c>
    </row>
    <row r="37">
      <c r="A37" s="6" t="str">
        <f>HYPERLINK("http://proofbakery.com/","Proof Bakery")</f>
        <v>Proof Bakery</v>
      </c>
      <c r="B37" s="7" t="s">
        <v>152</v>
      </c>
      <c r="C37" s="2" t="s">
        <v>21</v>
      </c>
      <c r="D37" s="2">
        <v>1.0</v>
      </c>
      <c r="E37" s="2">
        <v>9.0</v>
      </c>
      <c r="F37" s="12">
        <v>48.0</v>
      </c>
      <c r="G37" s="2" t="s">
        <v>253</v>
      </c>
      <c r="H37" s="13" t="s">
        <v>157</v>
      </c>
      <c r="I37" s="14">
        <v>42743.0</v>
      </c>
      <c r="J37" s="17" t="str">
        <f t="shared" si="1"/>
        <v>$27 Cake Vs. $1,120 Cake</v>
      </c>
      <c r="K37" s="11" t="s">
        <v>30</v>
      </c>
      <c r="L37" s="11" t="str">
        <f>VLOOKUP(A37, Map!A:G,2)</f>
        <v/>
      </c>
      <c r="M37" s="11" t="s">
        <v>166</v>
      </c>
      <c r="N37" s="2" t="s">
        <v>39</v>
      </c>
      <c r="O37" s="2" t="s">
        <v>40</v>
      </c>
      <c r="P37" s="2"/>
      <c r="Q37" s="2"/>
      <c r="R37" s="2"/>
      <c r="S37" s="2"/>
      <c r="T37" s="2" t="s">
        <v>51</v>
      </c>
      <c r="U37" s="2" t="s">
        <v>163</v>
      </c>
    </row>
    <row r="38">
      <c r="A38" s="6" t="str">
        <f>HYPERLINK("http://birdiesla.com/","Birdies")</f>
        <v>Birdies</v>
      </c>
      <c r="B38" s="7" t="s">
        <v>168</v>
      </c>
      <c r="C38" s="2" t="s">
        <v>33</v>
      </c>
      <c r="D38" s="2">
        <v>2.0</v>
      </c>
      <c r="E38" s="2">
        <v>1.0</v>
      </c>
      <c r="F38" s="12">
        <v>100.0</v>
      </c>
      <c r="G38" s="2" t="s">
        <v>260</v>
      </c>
      <c r="H38" s="13" t="s">
        <v>172</v>
      </c>
      <c r="I38" s="14">
        <v>42806.0</v>
      </c>
      <c r="J38" s="17" t="str">
        <f t="shared" si="1"/>
        <v>$1 Donut Vs. $100 Donut</v>
      </c>
      <c r="K38" s="11" t="s">
        <v>30</v>
      </c>
      <c r="L38" s="11" t="str">
        <f>VLOOKUP(A38, Map!A:G,2)</f>
        <v>#N/A</v>
      </c>
      <c r="M38" s="11" t="s">
        <v>171</v>
      </c>
      <c r="N38" s="2" t="s">
        <v>39</v>
      </c>
      <c r="O38" s="2" t="s">
        <v>40</v>
      </c>
      <c r="P38" s="15"/>
      <c r="Q38" s="15"/>
      <c r="R38" s="15"/>
      <c r="S38" s="15"/>
      <c r="T38" s="15"/>
      <c r="U38" s="15"/>
    </row>
    <row r="39">
      <c r="A39" s="6" t="str">
        <f>HYPERLINK("https://www.blinkiesdonuts.com/","Blinkie's Donut Emporium")</f>
        <v>Blinkie's Donut Emporium</v>
      </c>
      <c r="B39" s="7" t="s">
        <v>168</v>
      </c>
      <c r="C39" s="2" t="s">
        <v>41</v>
      </c>
      <c r="D39" s="2">
        <v>2.0</v>
      </c>
      <c r="E39" s="2">
        <v>1.0</v>
      </c>
      <c r="F39" s="12">
        <v>1.0</v>
      </c>
      <c r="G39" s="2" t="s">
        <v>269</v>
      </c>
      <c r="H39" s="13" t="s">
        <v>172</v>
      </c>
      <c r="I39" s="14">
        <v>42806.0</v>
      </c>
      <c r="J39" s="17" t="str">
        <f t="shared" si="1"/>
        <v>$1 Donut Vs. $100 Donut</v>
      </c>
      <c r="K39" s="11" t="s">
        <v>30</v>
      </c>
      <c r="L39" s="11" t="str">
        <f>VLOOKUP(A39, Map!A:G,2)</f>
        <v>$5 Pizza Vs. $135 Pizza</v>
      </c>
      <c r="M39" s="11" t="s">
        <v>176</v>
      </c>
      <c r="N39" s="2" t="s">
        <v>39</v>
      </c>
      <c r="O39" s="2" t="s">
        <v>40</v>
      </c>
      <c r="P39" s="2"/>
      <c r="Q39" s="2"/>
      <c r="R39" s="2"/>
      <c r="S39" s="2"/>
      <c r="T39" s="2" t="s">
        <v>158</v>
      </c>
      <c r="U39" s="15"/>
    </row>
    <row r="40">
      <c r="A40" s="2" t="s">
        <v>179</v>
      </c>
      <c r="B40" s="7" t="s">
        <v>168</v>
      </c>
      <c r="C40" s="2" t="s">
        <v>21</v>
      </c>
      <c r="D40" s="2">
        <v>2.0</v>
      </c>
      <c r="E40" s="2">
        <v>1.0</v>
      </c>
      <c r="F40" s="12">
        <v>12.0</v>
      </c>
      <c r="G40" s="2" t="s">
        <v>273</v>
      </c>
      <c r="H40" s="13" t="s">
        <v>172</v>
      </c>
      <c r="I40" s="14">
        <v>42806.0</v>
      </c>
      <c r="J40" s="17" t="str">
        <f t="shared" si="1"/>
        <v>$1 Donut Vs. $100 Donut</v>
      </c>
      <c r="K40" s="11" t="s">
        <v>30</v>
      </c>
      <c r="L40" s="11" t="str">
        <f>VLOOKUP(A40, Map!A:G,2)</f>
        <v/>
      </c>
      <c r="M40" s="2" t="s">
        <v>181</v>
      </c>
      <c r="N40" s="2" t="s">
        <v>39</v>
      </c>
      <c r="O40" s="2" t="s">
        <v>40</v>
      </c>
      <c r="P40" s="15"/>
      <c r="Q40" s="15"/>
      <c r="R40" s="15"/>
      <c r="S40" s="15"/>
      <c r="T40" s="15"/>
      <c r="U40" s="2" t="s">
        <v>182</v>
      </c>
    </row>
    <row r="41">
      <c r="A41" s="6" t="str">
        <f>HYPERLINK("https://redrock.sclv.com/Dining/Feast-Buffet/Menu-Sp","Feast Buffet, Red Rock Casino")</f>
        <v>Feast Buffet, Red Rock Casino</v>
      </c>
      <c r="B41" s="7" t="s">
        <v>183</v>
      </c>
      <c r="C41" s="2" t="s">
        <v>41</v>
      </c>
      <c r="D41" s="2">
        <v>2.0</v>
      </c>
      <c r="E41" s="2">
        <v>2.0</v>
      </c>
      <c r="F41" s="12">
        <v>8.99</v>
      </c>
      <c r="G41" s="2" t="s">
        <v>279</v>
      </c>
      <c r="H41" s="13" t="s">
        <v>188</v>
      </c>
      <c r="I41" s="14">
        <v>42813.0</v>
      </c>
      <c r="J41" s="17" t="str">
        <f t="shared" si="1"/>
        <v>$7 Buffet Vs. $95 Buffet</v>
      </c>
      <c r="K41" s="11" t="s">
        <v>30</v>
      </c>
      <c r="L41" s="11" t="str">
        <f>VLOOKUP(A41, Map!A:G,2)</f>
        <v>$5 Pizza Vs. $135 Pizza</v>
      </c>
      <c r="M41" s="11" t="s">
        <v>187</v>
      </c>
      <c r="N41" s="2" t="s">
        <v>76</v>
      </c>
      <c r="O41" s="2" t="s">
        <v>40</v>
      </c>
      <c r="P41" s="15"/>
      <c r="Q41" s="15"/>
      <c r="R41" s="15"/>
      <c r="S41" s="15"/>
      <c r="T41" s="15"/>
      <c r="U41" s="15"/>
    </row>
    <row r="42">
      <c r="A42" s="6" t="str">
        <f>HYPERLINK("https://www.caesars.com/ballys-las-vegas/restaurants/sterling-brunch","The Sterling Brunch, BLT Steak at Bally's")</f>
        <v>The Sterling Brunch, BLT Steak at Bally's</v>
      </c>
      <c r="B42" s="7" t="s">
        <v>183</v>
      </c>
      <c r="C42" s="2" t="s">
        <v>33</v>
      </c>
      <c r="D42" s="2">
        <v>2.0</v>
      </c>
      <c r="E42" s="2">
        <v>2.0</v>
      </c>
      <c r="F42" s="12">
        <v>95.0</v>
      </c>
      <c r="G42" s="2" t="s">
        <v>279</v>
      </c>
      <c r="H42" s="13" t="s">
        <v>188</v>
      </c>
      <c r="I42" s="14">
        <v>42813.0</v>
      </c>
      <c r="J42" s="17" t="str">
        <f t="shared" si="1"/>
        <v>$7 Buffet Vs. $95 Buffet</v>
      </c>
      <c r="K42" s="11" t="s">
        <v>30</v>
      </c>
      <c r="L42" s="11" t="str">
        <f>VLOOKUP(A42, Map!A:G,2)</f>
        <v/>
      </c>
      <c r="M42" s="11" t="s">
        <v>192</v>
      </c>
      <c r="N42" s="2" t="s">
        <v>76</v>
      </c>
      <c r="O42" s="2" t="s">
        <v>40</v>
      </c>
      <c r="P42" s="2"/>
      <c r="Q42" s="2"/>
      <c r="R42" s="2"/>
      <c r="S42" s="2"/>
      <c r="T42" s="2" t="s">
        <v>108</v>
      </c>
      <c r="U42" s="15"/>
    </row>
    <row r="43">
      <c r="A43" s="6" t="str">
        <f>HYPERLINK("https://www.cosmopolitanlasvegas.com/restaurants/wicked-spoon","Wicked Spoon, The Cosmopolitan")</f>
        <v>Wicked Spoon, The Cosmopolitan</v>
      </c>
      <c r="B43" s="7" t="s">
        <v>183</v>
      </c>
      <c r="C43" s="2" t="s">
        <v>21</v>
      </c>
      <c r="D43" s="2">
        <v>2.0</v>
      </c>
      <c r="E43" s="2">
        <v>2.0</v>
      </c>
      <c r="F43" s="12">
        <v>49.0</v>
      </c>
      <c r="G43" s="2" t="s">
        <v>279</v>
      </c>
      <c r="H43" s="13" t="s">
        <v>188</v>
      </c>
      <c r="I43" s="14">
        <v>42813.0</v>
      </c>
      <c r="J43" s="17" t="str">
        <f t="shared" si="1"/>
        <v>$7 Buffet Vs. $95 Buffet</v>
      </c>
      <c r="K43" s="11" t="s">
        <v>30</v>
      </c>
      <c r="L43" s="11" t="str">
        <f>VLOOKUP(A43, Map!A:G,2)</f>
        <v/>
      </c>
      <c r="M43" s="11" t="s">
        <v>196</v>
      </c>
      <c r="N43" s="2" t="s">
        <v>76</v>
      </c>
      <c r="O43" s="2" t="s">
        <v>40</v>
      </c>
      <c r="P43" s="2"/>
      <c r="Q43" s="2"/>
      <c r="R43" s="2"/>
      <c r="S43" s="2"/>
      <c r="T43" s="2" t="s">
        <v>51</v>
      </c>
      <c r="U43" s="15"/>
    </row>
    <row r="44">
      <c r="A44" s="6" t="str">
        <f>HYPERLINK("http://www.guisados.co/","Guisados")</f>
        <v>Guisados</v>
      </c>
      <c r="B44" s="7" t="s">
        <v>198</v>
      </c>
      <c r="C44" s="2" t="s">
        <v>21</v>
      </c>
      <c r="D44" s="2">
        <v>2.0</v>
      </c>
      <c r="E44" s="2">
        <v>3.0</v>
      </c>
      <c r="F44" s="12">
        <v>2.75</v>
      </c>
      <c r="G44" s="2" t="s">
        <v>304</v>
      </c>
      <c r="H44" s="13" t="s">
        <v>202</v>
      </c>
      <c r="I44" s="14">
        <v>42820.0</v>
      </c>
      <c r="J44" s="17" t="str">
        <f t="shared" si="1"/>
        <v>$47 Taco Vs. $1 Taco</v>
      </c>
      <c r="K44" s="11" t="s">
        <v>30</v>
      </c>
      <c r="L44" s="11" t="str">
        <f>VLOOKUP(A44, Map!A:G,2)</f>
        <v>$5 Pizza Vs. $135 Pizza</v>
      </c>
      <c r="M44" s="11" t="s">
        <v>201</v>
      </c>
      <c r="N44" s="2" t="s">
        <v>39</v>
      </c>
      <c r="O44" s="2" t="s">
        <v>40</v>
      </c>
      <c r="P44" s="2"/>
      <c r="Q44" s="2"/>
      <c r="R44" s="2"/>
      <c r="S44" s="2"/>
      <c r="T44" s="2" t="s">
        <v>108</v>
      </c>
      <c r="U44" s="2" t="s">
        <v>203</v>
      </c>
    </row>
    <row r="45">
      <c r="A45" s="6" t="str">
        <f>HYPERLINK("https://www.leostacostruck.com/","Leo's Taco Truck")</f>
        <v>Leo's Taco Truck</v>
      </c>
      <c r="B45" s="7" t="s">
        <v>198</v>
      </c>
      <c r="C45" s="2" t="s">
        <v>41</v>
      </c>
      <c r="D45" s="2">
        <v>2.0</v>
      </c>
      <c r="E45" s="2">
        <v>3.0</v>
      </c>
      <c r="F45" s="12">
        <v>1.25</v>
      </c>
      <c r="G45" s="2" t="s">
        <v>309</v>
      </c>
      <c r="H45" s="13" t="s">
        <v>202</v>
      </c>
      <c r="I45" s="14">
        <v>42820.0</v>
      </c>
      <c r="J45" s="17" t="str">
        <f t="shared" si="1"/>
        <v>$47 Taco Vs. $1 Taco</v>
      </c>
      <c r="K45" s="2" t="s">
        <v>37</v>
      </c>
      <c r="L45" s="11" t="str">
        <f>VLOOKUP(A45, Map!A:G,2)</f>
        <v>$5 Pizza Vs. $135 Pizza</v>
      </c>
      <c r="M45" s="11" t="s">
        <v>206</v>
      </c>
      <c r="N45" s="2" t="s">
        <v>39</v>
      </c>
      <c r="O45" s="2" t="s">
        <v>40</v>
      </c>
      <c r="P45" s="2"/>
      <c r="Q45" s="2"/>
      <c r="R45" s="2"/>
      <c r="S45" s="2"/>
      <c r="T45" s="2" t="s">
        <v>51</v>
      </c>
      <c r="U45" s="2" t="s">
        <v>203</v>
      </c>
    </row>
    <row r="46">
      <c r="A46" s="6" t="str">
        <f>HYPERLINK("https://www.cosmopolitanlasvegas.com/restaurants/rose-rabbit-lie","Rose. Rabbit. Lie")</f>
        <v>Rose. Rabbit. Lie</v>
      </c>
      <c r="B46" s="7" t="s">
        <v>198</v>
      </c>
      <c r="C46" s="2" t="s">
        <v>33</v>
      </c>
      <c r="D46" s="2">
        <v>2.0</v>
      </c>
      <c r="E46" s="2">
        <v>3.0</v>
      </c>
      <c r="F46" s="12">
        <v>47.0</v>
      </c>
      <c r="G46" s="2" t="s">
        <v>317</v>
      </c>
      <c r="H46" s="13" t="s">
        <v>202</v>
      </c>
      <c r="I46" s="14">
        <v>42820.0</v>
      </c>
      <c r="J46" s="17" t="str">
        <f t="shared" si="1"/>
        <v>$47 Taco Vs. $1 Taco</v>
      </c>
      <c r="K46" s="11" t="s">
        <v>30</v>
      </c>
      <c r="L46" s="11" t="str">
        <f>VLOOKUP(A46, Map!A:G,2)</f>
        <v/>
      </c>
      <c r="M46" s="11" t="s">
        <v>210</v>
      </c>
      <c r="N46" s="2" t="s">
        <v>76</v>
      </c>
      <c r="O46" s="2" t="s">
        <v>40</v>
      </c>
      <c r="P46" s="15"/>
      <c r="Q46" s="15"/>
      <c r="R46" s="15"/>
      <c r="S46" s="15"/>
      <c r="T46" s="15"/>
      <c r="U46" s="15"/>
    </row>
    <row r="47">
      <c r="A47" s="6" t="str">
        <f>HYPERLINK("https://www.fostersfreeze.com/","Foster's Freeze")</f>
        <v>Foster's Freeze</v>
      </c>
      <c r="B47" s="7" t="s">
        <v>211</v>
      </c>
      <c r="C47" s="2" t="s">
        <v>41</v>
      </c>
      <c r="D47" s="2">
        <v>2.0</v>
      </c>
      <c r="E47" s="2">
        <v>4.0</v>
      </c>
      <c r="F47" s="12">
        <v>1.69</v>
      </c>
      <c r="G47" s="2" t="s">
        <v>322</v>
      </c>
      <c r="H47" s="13" t="s">
        <v>216</v>
      </c>
      <c r="I47" s="14">
        <v>42827.0</v>
      </c>
      <c r="J47" s="17" t="str">
        <f t="shared" si="1"/>
        <v>$1 Ice Cream Vs. $1,000 Ice Cream</v>
      </c>
      <c r="K47" s="2" t="s">
        <v>37</v>
      </c>
      <c r="L47" s="11" t="str">
        <f>VLOOKUP(A47, Map!A:G,2)</f>
        <v>$5 Pizza Vs. $135 Pizza</v>
      </c>
      <c r="M47" s="11" t="s">
        <v>214</v>
      </c>
      <c r="N47" s="2" t="s">
        <v>39</v>
      </c>
      <c r="O47" s="2" t="s">
        <v>40</v>
      </c>
      <c r="P47" s="2"/>
      <c r="Q47" s="2"/>
      <c r="R47" s="2"/>
      <c r="S47" s="2"/>
      <c r="T47" s="2" t="s">
        <v>51</v>
      </c>
      <c r="U47" s="15"/>
    </row>
    <row r="48">
      <c r="A48" s="6" t="str">
        <f>HYPERLINK("www.scoopswestside.com/","Scoops")</f>
        <v>Scoops</v>
      </c>
      <c r="B48" s="7" t="s">
        <v>211</v>
      </c>
      <c r="C48" s="2" t="s">
        <v>21</v>
      </c>
      <c r="D48" s="2">
        <v>2.0</v>
      </c>
      <c r="E48" s="2">
        <v>4.0</v>
      </c>
      <c r="F48" s="12">
        <v>3.95</v>
      </c>
      <c r="G48" s="2" t="s">
        <v>331</v>
      </c>
      <c r="H48" s="13" t="s">
        <v>216</v>
      </c>
      <c r="I48" s="14">
        <v>42827.0</v>
      </c>
      <c r="J48" s="17" t="str">
        <f t="shared" si="1"/>
        <v>$1 Ice Cream Vs. $1,000 Ice Cream</v>
      </c>
      <c r="K48" s="11" t="s">
        <v>30</v>
      </c>
      <c r="L48" s="11" t="str">
        <f>VLOOKUP(A48, Map!A:G,2)</f>
        <v/>
      </c>
      <c r="M48" s="11" t="s">
        <v>220</v>
      </c>
      <c r="N48" s="2" t="s">
        <v>39</v>
      </c>
      <c r="O48" s="2" t="s">
        <v>40</v>
      </c>
      <c r="P48" s="2"/>
      <c r="Q48" s="2"/>
      <c r="R48" s="2"/>
      <c r="S48" s="2"/>
      <c r="T48" s="2" t="s">
        <v>108</v>
      </c>
      <c r="U48" s="15"/>
    </row>
    <row r="49">
      <c r="A49" s="6" t="str">
        <f>HYPERLINK("https://serendipity3.com/","Serendipity 3")</f>
        <v>Serendipity 3</v>
      </c>
      <c r="B49" s="7" t="s">
        <v>211</v>
      </c>
      <c r="C49" s="2" t="s">
        <v>33</v>
      </c>
      <c r="D49" s="2">
        <v>2.0</v>
      </c>
      <c r="E49" s="2">
        <v>4.0</v>
      </c>
      <c r="F49" s="12">
        <v>1000.0</v>
      </c>
      <c r="G49" s="2" t="s">
        <v>337</v>
      </c>
      <c r="H49" s="13" t="s">
        <v>216</v>
      </c>
      <c r="I49" s="14">
        <v>42827.0</v>
      </c>
      <c r="J49" s="17" t="str">
        <f t="shared" si="1"/>
        <v>$1 Ice Cream Vs. $1,000 Ice Cream</v>
      </c>
      <c r="K49" s="11" t="s">
        <v>30</v>
      </c>
      <c r="L49" s="11" t="str">
        <f>VLOOKUP(A49, Map!A:G,2)</f>
        <v/>
      </c>
      <c r="M49" s="11" t="s">
        <v>223</v>
      </c>
      <c r="N49" s="2" t="s">
        <v>341</v>
      </c>
      <c r="O49" s="2" t="s">
        <v>40</v>
      </c>
      <c r="P49" s="15"/>
      <c r="Q49" s="15"/>
      <c r="R49" s="15"/>
      <c r="S49" s="15"/>
      <c r="T49" s="15"/>
      <c r="U49" s="15"/>
    </row>
    <row r="50">
      <c r="A50" s="6" t="str">
        <f>HYPERLINK("http://industry-kitchen.com/","Industry Kitchen")</f>
        <v>Industry Kitchen</v>
      </c>
      <c r="B50" s="7" t="s">
        <v>224</v>
      </c>
      <c r="C50" s="2" t="s">
        <v>33</v>
      </c>
      <c r="D50" s="2">
        <v>2.0</v>
      </c>
      <c r="E50" s="2">
        <v>5.0</v>
      </c>
      <c r="F50" s="12">
        <v>2000.0</v>
      </c>
      <c r="G50" s="2" t="s">
        <v>343</v>
      </c>
      <c r="H50" s="13" t="s">
        <v>228</v>
      </c>
      <c r="I50" s="14">
        <v>42834.0</v>
      </c>
      <c r="J50" s="17" t="str">
        <f t="shared" si="1"/>
        <v>$2 Pizza Vs. $2,000 Pizza • New York City</v>
      </c>
      <c r="K50" s="11" t="s">
        <v>30</v>
      </c>
      <c r="L50" s="11" t="str">
        <f>VLOOKUP(A50, Map!A:G,2)</f>
        <v>$5 Pizza Vs. $135 Pizza</v>
      </c>
      <c r="M50" s="11" t="s">
        <v>227</v>
      </c>
      <c r="N50" s="2" t="s">
        <v>341</v>
      </c>
      <c r="O50" s="2" t="s">
        <v>40</v>
      </c>
      <c r="P50" s="15"/>
      <c r="Q50" s="15"/>
      <c r="R50" s="15"/>
      <c r="S50" s="15"/>
      <c r="T50" s="15"/>
      <c r="U50" s="15"/>
    </row>
    <row r="51">
      <c r="A51" s="6" t="str">
        <f>HYPERLINK("http://www.joespizzanyc.com/","Joe's Pizza")</f>
        <v>Joe's Pizza</v>
      </c>
      <c r="B51" s="7" t="s">
        <v>224</v>
      </c>
      <c r="C51" s="2" t="s">
        <v>41</v>
      </c>
      <c r="D51" s="2">
        <v>2.0</v>
      </c>
      <c r="E51" s="2">
        <v>5.0</v>
      </c>
      <c r="F51" s="12">
        <v>2.75</v>
      </c>
      <c r="G51" s="2" t="s">
        <v>352</v>
      </c>
      <c r="H51" s="13" t="s">
        <v>228</v>
      </c>
      <c r="I51" s="14">
        <v>42834.0</v>
      </c>
      <c r="J51" s="17" t="str">
        <f t="shared" si="1"/>
        <v>$2 Pizza Vs. $2,000 Pizza • New York City</v>
      </c>
      <c r="K51" s="2" t="s">
        <v>37</v>
      </c>
      <c r="L51" s="11" t="str">
        <f>VLOOKUP(A51, Map!A:G,2)</f>
        <v>$5 Pizza Vs. $135 Pizza</v>
      </c>
      <c r="M51" s="11" t="s">
        <v>231</v>
      </c>
      <c r="N51" s="2" t="s">
        <v>341</v>
      </c>
      <c r="O51" s="2" t="s">
        <v>40</v>
      </c>
      <c r="P51" s="2"/>
      <c r="Q51" s="2"/>
      <c r="R51" s="2"/>
      <c r="S51" s="2"/>
      <c r="T51" s="2" t="s">
        <v>51</v>
      </c>
      <c r="U51" s="15"/>
    </row>
    <row r="52">
      <c r="A52" s="6" t="str">
        <f t="shared" ref="A52:A53" si="8">HYPERLINK("http://www.rossonyc.com/","Rossopomodoro, Eataly Flatiron")</f>
        <v>Rossopomodoro, Eataly Flatiron</v>
      </c>
      <c r="B52" s="7" t="s">
        <v>224</v>
      </c>
      <c r="C52" s="2" t="s">
        <v>21</v>
      </c>
      <c r="D52" s="2">
        <v>2.0</v>
      </c>
      <c r="E52" s="2">
        <v>5.0</v>
      </c>
      <c r="F52" s="12">
        <v>13.0</v>
      </c>
      <c r="G52" s="2" t="s">
        <v>361</v>
      </c>
      <c r="H52" s="13" t="s">
        <v>228</v>
      </c>
      <c r="I52" s="14">
        <v>42834.0</v>
      </c>
      <c r="J52" s="17" t="str">
        <f t="shared" si="1"/>
        <v>$2 Pizza Vs. $2,000 Pizza • New York City</v>
      </c>
      <c r="K52" s="2" t="s">
        <v>37</v>
      </c>
      <c r="L52" s="11" t="str">
        <f>VLOOKUP(A52, Map!A:G,2)</f>
        <v/>
      </c>
      <c r="M52" s="11" t="s">
        <v>234</v>
      </c>
      <c r="N52" s="2" t="s">
        <v>341</v>
      </c>
      <c r="O52" s="2" t="s">
        <v>40</v>
      </c>
      <c r="P52" s="2"/>
      <c r="Q52" s="2"/>
      <c r="R52" s="2"/>
      <c r="S52" s="2"/>
      <c r="T52" s="2" t="s">
        <v>108</v>
      </c>
      <c r="U52" s="15"/>
    </row>
    <row r="53">
      <c r="A53" s="6" t="str">
        <f t="shared" si="8"/>
        <v>Rossopomodoro, Eataly Flatiron</v>
      </c>
      <c r="B53" s="7" t="s">
        <v>224</v>
      </c>
      <c r="C53" s="2" t="s">
        <v>21</v>
      </c>
      <c r="D53" s="2">
        <v>2.0</v>
      </c>
      <c r="E53" s="2">
        <v>5.0</v>
      </c>
      <c r="F53" s="12">
        <v>18.0</v>
      </c>
      <c r="G53" s="2" t="s">
        <v>362</v>
      </c>
      <c r="H53" s="13" t="s">
        <v>228</v>
      </c>
      <c r="I53" s="14">
        <v>42834.0</v>
      </c>
      <c r="J53" s="17" t="str">
        <f t="shared" si="1"/>
        <v>$2 Pizza Vs. $2,000 Pizza • New York City</v>
      </c>
      <c r="K53" s="2" t="s">
        <v>37</v>
      </c>
      <c r="L53" s="11" t="str">
        <f>VLOOKUP(A53, Map!A:G,2)</f>
        <v/>
      </c>
      <c r="M53" s="11" t="s">
        <v>234</v>
      </c>
      <c r="N53" s="2" t="s">
        <v>341</v>
      </c>
      <c r="O53" s="2" t="s">
        <v>40</v>
      </c>
      <c r="P53" s="15"/>
      <c r="Q53" s="15"/>
      <c r="R53" s="15"/>
      <c r="S53" s="15"/>
      <c r="T53" s="15"/>
      <c r="U53" s="15"/>
    </row>
    <row r="54">
      <c r="A54" s="6" t="str">
        <f>HYPERLINK("http://www.eileenscheesecake.com/","Eileen's Special Cheesecake")</f>
        <v>Eileen's Special Cheesecake</v>
      </c>
      <c r="B54" s="7" t="s">
        <v>235</v>
      </c>
      <c r="C54" s="2" t="s">
        <v>41</v>
      </c>
      <c r="D54" s="2">
        <v>2.0</v>
      </c>
      <c r="E54" s="2">
        <v>6.0</v>
      </c>
      <c r="F54" s="12">
        <v>3.9</v>
      </c>
      <c r="G54" s="2" t="s">
        <v>366</v>
      </c>
      <c r="H54" s="13" t="s">
        <v>239</v>
      </c>
      <c r="I54" s="14">
        <v>42841.0</v>
      </c>
      <c r="J54" s="17" t="str">
        <f t="shared" si="1"/>
        <v>$4 Cheesecake Vs. $70 Cheesecake</v>
      </c>
      <c r="K54" s="11" t="s">
        <v>30</v>
      </c>
      <c r="L54" s="11" t="str">
        <f>VLOOKUP(A54, Map!A:G,2)</f>
        <v>$5 Pizza Vs. $135 Pizza</v>
      </c>
      <c r="M54" s="11" t="s">
        <v>238</v>
      </c>
      <c r="N54" s="2" t="s">
        <v>341</v>
      </c>
      <c r="O54" s="2" t="s">
        <v>40</v>
      </c>
      <c r="P54" s="2"/>
      <c r="Q54" s="2"/>
      <c r="R54" s="2"/>
      <c r="S54" s="2"/>
      <c r="T54" s="2" t="s">
        <v>108</v>
      </c>
      <c r="U54" s="15"/>
    </row>
    <row r="55">
      <c r="A55" s="6" t="str">
        <f>HYPERLINK("https://www.ladym.com/","Lady M")</f>
        <v>Lady M</v>
      </c>
      <c r="B55" s="7" t="s">
        <v>235</v>
      </c>
      <c r="C55" s="2" t="s">
        <v>33</v>
      </c>
      <c r="D55" s="2">
        <v>2.0</v>
      </c>
      <c r="E55" s="2">
        <v>6.0</v>
      </c>
      <c r="F55" s="12">
        <v>70.0</v>
      </c>
      <c r="G55" s="2" t="s">
        <v>375</v>
      </c>
      <c r="H55" s="13" t="s">
        <v>239</v>
      </c>
      <c r="I55" s="14">
        <v>42841.0</v>
      </c>
      <c r="J55" s="17" t="str">
        <f t="shared" si="1"/>
        <v>$4 Cheesecake Vs. $70 Cheesecake</v>
      </c>
      <c r="K55" s="2" t="s">
        <v>37</v>
      </c>
      <c r="L55" s="11" t="str">
        <f>VLOOKUP(A55, Map!A:G,2)</f>
        <v>$5 Pizza Vs. $135 Pizza</v>
      </c>
      <c r="M55" s="11" t="s">
        <v>243</v>
      </c>
      <c r="N55" s="2" t="s">
        <v>341</v>
      </c>
      <c r="O55" s="2" t="s">
        <v>40</v>
      </c>
      <c r="P55" s="15"/>
      <c r="Q55" s="15"/>
      <c r="R55" s="15"/>
      <c r="S55" s="15"/>
      <c r="T55" s="15"/>
      <c r="U55" s="2" t="s">
        <v>163</v>
      </c>
    </row>
    <row r="56">
      <c r="A56" s="6" t="str">
        <f>HYPERLINK("http://togrp.com/venue/stk-downtown/","STK Downtown")</f>
        <v>STK Downtown</v>
      </c>
      <c r="B56" s="7" t="s">
        <v>235</v>
      </c>
      <c r="C56" s="2" t="s">
        <v>21</v>
      </c>
      <c r="D56" s="2">
        <v>2.0</v>
      </c>
      <c r="E56" s="2">
        <v>6.0</v>
      </c>
      <c r="F56" s="12">
        <v>12.0</v>
      </c>
      <c r="G56" s="2" t="s">
        <v>376</v>
      </c>
      <c r="H56" s="13" t="s">
        <v>239</v>
      </c>
      <c r="I56" s="14">
        <v>42841.0</v>
      </c>
      <c r="J56" s="17" t="str">
        <f t="shared" si="1"/>
        <v>$4 Cheesecake Vs. $70 Cheesecake</v>
      </c>
      <c r="K56" s="11" t="s">
        <v>30</v>
      </c>
      <c r="L56" s="11" t="str">
        <f>VLOOKUP(A56, Map!A:G,2)</f>
        <v/>
      </c>
      <c r="M56" s="11" t="s">
        <v>246</v>
      </c>
      <c r="N56" s="2" t="s">
        <v>341</v>
      </c>
      <c r="O56" s="2" t="s">
        <v>40</v>
      </c>
      <c r="P56" s="2"/>
      <c r="Q56" s="2"/>
      <c r="R56" s="2"/>
      <c r="S56" s="2"/>
      <c r="T56" s="2" t="s">
        <v>51</v>
      </c>
      <c r="U56" s="15"/>
    </row>
    <row r="57">
      <c r="A57" s="6" t="str">
        <f>HYPERLINK("https://www.gramercytavern.com/","Gramercy Tavern")</f>
        <v>Gramercy Tavern</v>
      </c>
      <c r="B57" s="7" t="s">
        <v>247</v>
      </c>
      <c r="C57" s="2" t="s">
        <v>21</v>
      </c>
      <c r="D57" s="2">
        <v>2.0</v>
      </c>
      <c r="E57" s="2">
        <v>7.0</v>
      </c>
      <c r="F57" s="12">
        <v>29.0</v>
      </c>
      <c r="G57" s="2" t="s">
        <v>381</v>
      </c>
      <c r="H57" s="13" t="s">
        <v>251</v>
      </c>
      <c r="I57" s="14">
        <v>42848.0</v>
      </c>
      <c r="J57" s="17" t="str">
        <f t="shared" si="1"/>
        <v>$7 Secret Menu Vs. $2,500 Secret Menu</v>
      </c>
      <c r="K57" s="11" t="s">
        <v>30</v>
      </c>
      <c r="L57" s="11" t="str">
        <f>VLOOKUP(A57, Map!A:G,2)</f>
        <v>$5 Pizza Vs. $135 Pizza</v>
      </c>
      <c r="M57" s="11" t="s">
        <v>250</v>
      </c>
      <c r="N57" s="2" t="s">
        <v>341</v>
      </c>
      <c r="O57" s="2" t="s">
        <v>40</v>
      </c>
      <c r="P57" s="2"/>
      <c r="Q57" s="2"/>
      <c r="R57" s="2"/>
      <c r="S57" s="2"/>
      <c r="T57" s="2" t="s">
        <v>158</v>
      </c>
      <c r="U57" s="15"/>
    </row>
    <row r="58">
      <c r="A58" s="6" t="str">
        <f>HYPERLINK("https://www.petrossian.com/new-york-boutique-cafe","Petrossian")</f>
        <v>Petrossian</v>
      </c>
      <c r="B58" s="7" t="s">
        <v>247</v>
      </c>
      <c r="C58" s="2" t="s">
        <v>33</v>
      </c>
      <c r="D58" s="2">
        <v>2.0</v>
      </c>
      <c r="E58" s="2">
        <v>7.0</v>
      </c>
      <c r="F58" s="12">
        <v>2500.0</v>
      </c>
      <c r="G58" s="2" t="s">
        <v>388</v>
      </c>
      <c r="H58" s="13" t="s">
        <v>251</v>
      </c>
      <c r="I58" s="14">
        <v>42848.0</v>
      </c>
      <c r="J58" s="17" t="str">
        <f t="shared" si="1"/>
        <v>$7 Secret Menu Vs. $2,500 Secret Menu</v>
      </c>
      <c r="K58" s="11" t="s">
        <v>30</v>
      </c>
      <c r="L58" s="11" t="str">
        <f>VLOOKUP(A58, Map!A:G,2)</f>
        <v>$15 Spaghetti Vs. $143 Spaghetti</v>
      </c>
      <c r="M58" s="11" t="s">
        <v>256</v>
      </c>
      <c r="N58" s="2" t="s">
        <v>341</v>
      </c>
      <c r="O58" s="2" t="s">
        <v>40</v>
      </c>
      <c r="P58" s="15"/>
      <c r="Q58" s="15"/>
      <c r="R58" s="15"/>
      <c r="S58" s="15"/>
      <c r="T58" s="15"/>
      <c r="U58" s="15"/>
    </row>
    <row r="59">
      <c r="A59" s="6" t="str">
        <f>HYPERLINK("https://www.shakeshack.com/food-and-drink/","Shake Shack")</f>
        <v>Shake Shack</v>
      </c>
      <c r="B59" s="7" t="s">
        <v>247</v>
      </c>
      <c r="C59" s="2" t="s">
        <v>41</v>
      </c>
      <c r="D59" s="2">
        <v>2.0</v>
      </c>
      <c r="E59" s="2">
        <v>7.0</v>
      </c>
      <c r="F59" s="12">
        <v>6.84</v>
      </c>
      <c r="G59" s="2" t="s">
        <v>391</v>
      </c>
      <c r="H59" s="13" t="s">
        <v>251</v>
      </c>
      <c r="I59" s="14">
        <v>42848.0</v>
      </c>
      <c r="J59" s="17" t="str">
        <f t="shared" si="1"/>
        <v>$7 Secret Menu Vs. $2,500 Secret Menu</v>
      </c>
      <c r="K59" s="2" t="s">
        <v>37</v>
      </c>
      <c r="L59" s="11" t="str">
        <f>VLOOKUP(A59, Map!A:G,2)</f>
        <v/>
      </c>
      <c r="M59" s="11" t="s">
        <v>259</v>
      </c>
      <c r="N59" s="2" t="s">
        <v>341</v>
      </c>
      <c r="O59" s="2" t="s">
        <v>40</v>
      </c>
      <c r="P59" s="15"/>
      <c r="Q59" s="15"/>
      <c r="R59" s="15"/>
      <c r="S59" s="15"/>
      <c r="T59" s="15"/>
      <c r="U59" s="15"/>
    </row>
    <row r="60">
      <c r="A60" s="6" t="str">
        <f>HYPERLINK("https://www.montagehotels.com/beverlyhills/en/dining/10-pound/","£10 @ The Montage Hotel")</f>
        <v>£10 @ The Montage Hotel</v>
      </c>
      <c r="B60" s="7" t="s">
        <v>261</v>
      </c>
      <c r="C60" s="2" t="s">
        <v>33</v>
      </c>
      <c r="D60" s="2">
        <v>2.0</v>
      </c>
      <c r="E60" s="2">
        <v>8.0</v>
      </c>
      <c r="F60" s="12">
        <v>208.0</v>
      </c>
      <c r="G60" s="2" t="s">
        <v>395</v>
      </c>
      <c r="H60" s="13" t="s">
        <v>265</v>
      </c>
      <c r="I60" s="14">
        <v>42855.0</v>
      </c>
      <c r="J60" s="17" t="str">
        <f t="shared" si="1"/>
        <v>$6 Cocktail Vs. $208 Cocktail</v>
      </c>
      <c r="K60" s="11" t="s">
        <v>30</v>
      </c>
      <c r="L60" s="11" t="str">
        <f>VLOOKUP(A60, Map!A:G,2)</f>
        <v>#N/A</v>
      </c>
      <c r="M60" s="11" t="s">
        <v>264</v>
      </c>
      <c r="N60" s="2" t="s">
        <v>39</v>
      </c>
      <c r="O60" s="2" t="s">
        <v>40</v>
      </c>
      <c r="P60" s="2"/>
      <c r="Q60" s="2"/>
      <c r="R60" s="2"/>
      <c r="S60" s="2"/>
      <c r="T60" s="2" t="s">
        <v>51</v>
      </c>
      <c r="U60" s="15"/>
    </row>
    <row r="61">
      <c r="A61" s="6" t="str">
        <f>HYPERLINK("http://goodtimesatdaveywaynes.com/","Good Times at Davey Wayne's")</f>
        <v>Good Times at Davey Wayne's</v>
      </c>
      <c r="B61" s="7" t="s">
        <v>261</v>
      </c>
      <c r="C61" s="2" t="s">
        <v>41</v>
      </c>
      <c r="D61" s="2">
        <v>2.0</v>
      </c>
      <c r="E61" s="2">
        <v>8.0</v>
      </c>
      <c r="F61" s="12">
        <v>6.0</v>
      </c>
      <c r="G61" s="2" t="s">
        <v>407</v>
      </c>
      <c r="H61" s="13" t="s">
        <v>265</v>
      </c>
      <c r="I61" s="14">
        <v>42855.0</v>
      </c>
      <c r="J61" s="17" t="str">
        <f t="shared" si="1"/>
        <v>$6 Cocktail Vs. $208 Cocktail</v>
      </c>
      <c r="K61" s="11" t="s">
        <v>30</v>
      </c>
      <c r="L61" s="11" t="str">
        <f>VLOOKUP(A61, Map!A:G,2)</f>
        <v>$5 Pizza Vs. $135 Pizza</v>
      </c>
      <c r="M61" s="11" t="s">
        <v>268</v>
      </c>
      <c r="N61" s="2" t="s">
        <v>39</v>
      </c>
      <c r="O61" s="2" t="s">
        <v>40</v>
      </c>
      <c r="P61" s="2"/>
      <c r="Q61" s="2"/>
      <c r="R61" s="2"/>
      <c r="S61" s="2"/>
      <c r="T61" s="2" t="s">
        <v>51</v>
      </c>
      <c r="U61" s="15"/>
    </row>
    <row r="62">
      <c r="A62" s="6" t="str">
        <f>HYPERLINK("https://www.cliftonsla.com/pacific-seas/","Pacific Seas @ Clifton's")</f>
        <v>Pacific Seas @ Clifton's</v>
      </c>
      <c r="B62" s="7" t="s">
        <v>261</v>
      </c>
      <c r="C62" s="2" t="s">
        <v>21</v>
      </c>
      <c r="D62" s="2">
        <v>2.0</v>
      </c>
      <c r="E62" s="2">
        <v>8.0</v>
      </c>
      <c r="F62" s="12">
        <v>40.0</v>
      </c>
      <c r="G62" s="2" t="s">
        <v>412</v>
      </c>
      <c r="H62" s="13" t="s">
        <v>265</v>
      </c>
      <c r="I62" s="14">
        <v>42855.0</v>
      </c>
      <c r="J62" s="17" t="str">
        <f t="shared" si="1"/>
        <v>$6 Cocktail Vs. $208 Cocktail</v>
      </c>
      <c r="K62" s="11" t="s">
        <v>30</v>
      </c>
      <c r="L62" s="11" t="str">
        <f>VLOOKUP(A62, Map!A:G,2)</f>
        <v>$15 Spaghetti Vs. $143 Spaghetti</v>
      </c>
      <c r="M62" s="11" t="s">
        <v>272</v>
      </c>
      <c r="N62" s="2" t="s">
        <v>39</v>
      </c>
      <c r="O62" s="2" t="s">
        <v>40</v>
      </c>
      <c r="P62" s="2"/>
      <c r="Q62" s="2"/>
      <c r="R62" s="2"/>
      <c r="S62" s="2"/>
      <c r="T62" s="2" t="s">
        <v>51</v>
      </c>
      <c r="U62" s="15"/>
    </row>
    <row r="63">
      <c r="A63" s="6" t="str">
        <f>HYPERLINK("https://www.connieandteds.com/","Connie and Ted's")</f>
        <v>Connie and Ted's</v>
      </c>
      <c r="B63" s="7" t="s">
        <v>274</v>
      </c>
      <c r="C63" s="2" t="s">
        <v>21</v>
      </c>
      <c r="D63" s="2">
        <v>2.0</v>
      </c>
      <c r="E63" s="2">
        <v>9.0</v>
      </c>
      <c r="F63" s="12">
        <v>18.0</v>
      </c>
      <c r="G63" s="2" t="s">
        <v>418</v>
      </c>
      <c r="H63" s="13" t="s">
        <v>278</v>
      </c>
      <c r="I63" s="14">
        <v>42862.0</v>
      </c>
      <c r="J63" s="17" t="str">
        <f t="shared" si="1"/>
        <v>$2 Egg Vs. $95 Egg</v>
      </c>
      <c r="K63" s="11" t="s">
        <v>30</v>
      </c>
      <c r="L63" s="11" t="str">
        <f>VLOOKUP(A63, Map!A:G,2)</f>
        <v>$5 Pizza Vs. $135 Pizza</v>
      </c>
      <c r="M63" s="11" t="s">
        <v>277</v>
      </c>
      <c r="N63" s="2" t="s">
        <v>39</v>
      </c>
      <c r="O63" s="2" t="s">
        <v>40</v>
      </c>
      <c r="P63" s="2"/>
      <c r="Q63" s="2"/>
      <c r="R63" s="2"/>
      <c r="S63" s="2"/>
      <c r="T63" s="2" t="s">
        <v>108</v>
      </c>
      <c r="U63" s="15"/>
    </row>
    <row r="64">
      <c r="A64" s="6" t="str">
        <f>HYPERLINK("http://laotaostreetfood.com/","Lao Tao")</f>
        <v>Lao Tao</v>
      </c>
      <c r="B64" s="7" t="s">
        <v>274</v>
      </c>
      <c r="C64" s="2" t="s">
        <v>41</v>
      </c>
      <c r="D64" s="2">
        <v>2.0</v>
      </c>
      <c r="E64" s="2">
        <v>9.0</v>
      </c>
      <c r="F64" s="12">
        <v>2.0</v>
      </c>
      <c r="G64" s="2" t="s">
        <v>430</v>
      </c>
      <c r="H64" s="13" t="s">
        <v>278</v>
      </c>
      <c r="I64" s="14">
        <v>42862.0</v>
      </c>
      <c r="J64" s="17" t="str">
        <f t="shared" si="1"/>
        <v>$2 Egg Vs. $95 Egg</v>
      </c>
      <c r="K64" s="11" t="s">
        <v>30</v>
      </c>
      <c r="L64" s="11" t="str">
        <f>VLOOKUP(A64, Map!A:G,2)</f>
        <v>$5 Pizza Vs. $135 Pizza</v>
      </c>
      <c r="M64" s="11" t="s">
        <v>282</v>
      </c>
      <c r="N64" s="2" t="s">
        <v>39</v>
      </c>
      <c r="O64" s="2" t="s">
        <v>40</v>
      </c>
      <c r="P64" s="2"/>
      <c r="Q64" s="2"/>
      <c r="R64" s="2"/>
      <c r="S64" s="2"/>
      <c r="T64" s="2" t="s">
        <v>51</v>
      </c>
      <c r="U64" s="2" t="s">
        <v>283</v>
      </c>
    </row>
    <row r="65">
      <c r="A65" s="6" t="str">
        <f>HYPERLINK("https://www.melisse.com/","Mélisse")</f>
        <v>Mélisse</v>
      </c>
      <c r="B65" s="7" t="s">
        <v>274</v>
      </c>
      <c r="C65" s="2" t="s">
        <v>33</v>
      </c>
      <c r="D65" s="2">
        <v>2.0</v>
      </c>
      <c r="E65" s="2">
        <v>9.0</v>
      </c>
      <c r="F65" s="12">
        <v>95.0</v>
      </c>
      <c r="G65" s="2" t="s">
        <v>431</v>
      </c>
      <c r="H65" s="13" t="s">
        <v>278</v>
      </c>
      <c r="I65" s="14">
        <v>42862.0</v>
      </c>
      <c r="J65" s="17" t="str">
        <f t="shared" si="1"/>
        <v>$2 Egg Vs. $95 Egg</v>
      </c>
      <c r="K65" s="11" t="s">
        <v>30</v>
      </c>
      <c r="L65" s="11" t="str">
        <f>VLOOKUP(A65, Map!A:G,2)</f>
        <v>$15 Spaghetti Vs. $143 Spaghetti</v>
      </c>
      <c r="M65" s="11" t="s">
        <v>286</v>
      </c>
      <c r="N65" s="2" t="s">
        <v>39</v>
      </c>
      <c r="O65" s="2" t="s">
        <v>40</v>
      </c>
      <c r="P65" s="15"/>
      <c r="Q65" s="15"/>
      <c r="R65" s="15"/>
      <c r="S65" s="15"/>
      <c r="T65" s="15"/>
      <c r="U65" s="15"/>
    </row>
    <row r="66">
      <c r="A66" s="6" t="str">
        <f>HYPERLINK("https://www.tripadvisor.com/Restaurant_Review-g294197-d9299919-Reviews-Gangnam_Galmaegi-Seoul.html","Gangnam Galmegi")</f>
        <v>Gangnam Galmegi</v>
      </c>
      <c r="B66" s="7" t="s">
        <v>287</v>
      </c>
      <c r="C66" s="2" t="s">
        <v>41</v>
      </c>
      <c r="D66" s="2">
        <v>2.0</v>
      </c>
      <c r="E66" s="2">
        <v>10.0</v>
      </c>
      <c r="F66" s="12">
        <v>13.0</v>
      </c>
      <c r="G66" s="2" t="s">
        <v>438</v>
      </c>
      <c r="H66" s="13" t="s">
        <v>291</v>
      </c>
      <c r="I66" s="14">
        <v>42869.0</v>
      </c>
      <c r="J66" s="17" t="str">
        <f t="shared" si="1"/>
        <v>$13 BBQ Ribs Vs. $256 BBQ Ribs • Korea</v>
      </c>
      <c r="K66" s="11" t="s">
        <v>30</v>
      </c>
      <c r="L66" s="11" t="str">
        <f>VLOOKUP(A66, Map!A:G,2)</f>
        <v>$5 Pizza Vs. $135 Pizza</v>
      </c>
      <c r="M66" s="11" t="s">
        <v>290</v>
      </c>
      <c r="N66" s="2" t="s">
        <v>445</v>
      </c>
      <c r="O66" s="2" t="s">
        <v>446</v>
      </c>
      <c r="P66" s="15"/>
      <c r="Q66" s="15"/>
      <c r="R66" s="15"/>
      <c r="S66" s="15"/>
      <c r="T66" s="15"/>
      <c r="U66" s="15"/>
    </row>
    <row r="67">
      <c r="A67" s="16" t="s">
        <v>292</v>
      </c>
      <c r="B67" s="7" t="s">
        <v>287</v>
      </c>
      <c r="C67" s="2" t="s">
        <v>21</v>
      </c>
      <c r="D67" s="2">
        <v>2.0</v>
      </c>
      <c r="E67" s="2">
        <v>10.0</v>
      </c>
      <c r="F67" s="12">
        <v>28.0</v>
      </c>
      <c r="G67" s="2" t="s">
        <v>452</v>
      </c>
      <c r="H67" s="13" t="s">
        <v>291</v>
      </c>
      <c r="I67" s="14">
        <v>42869.0</v>
      </c>
      <c r="J67" s="17" t="str">
        <f t="shared" si="1"/>
        <v>$13 BBQ Ribs Vs. $256 BBQ Ribs • Korea</v>
      </c>
      <c r="K67" s="11" t="s">
        <v>30</v>
      </c>
      <c r="L67" s="11" t="str">
        <f>VLOOKUP(A67, Map!A:G,2)</f>
        <v/>
      </c>
      <c r="M67" s="11" t="s">
        <v>295</v>
      </c>
      <c r="N67" s="2" t="s">
        <v>445</v>
      </c>
      <c r="O67" s="2" t="s">
        <v>446</v>
      </c>
      <c r="P67" s="2"/>
      <c r="Q67" s="2"/>
      <c r="R67" s="2"/>
      <c r="S67" s="2"/>
      <c r="T67" s="2" t="s">
        <v>158</v>
      </c>
      <c r="U67" s="15"/>
    </row>
    <row r="68">
      <c r="A68" s="6" t="str">
        <f>HYPERLINK("https://www.walkerhill.com/grandwalkerhillseoul/en/dining/Myongwolgwan","Walkerhill Myongwolgwan")</f>
        <v>Walkerhill Myongwolgwan</v>
      </c>
      <c r="B68" s="7" t="s">
        <v>287</v>
      </c>
      <c r="C68" s="2" t="s">
        <v>33</v>
      </c>
      <c r="D68" s="2">
        <v>2.0</v>
      </c>
      <c r="E68" s="2">
        <v>10.0</v>
      </c>
      <c r="F68" s="12">
        <v>256.0</v>
      </c>
      <c r="G68" s="2" t="s">
        <v>456</v>
      </c>
      <c r="H68" s="13" t="s">
        <v>291</v>
      </c>
      <c r="I68" s="14">
        <v>42869.0</v>
      </c>
      <c r="J68" s="17" t="str">
        <f t="shared" si="1"/>
        <v>$13 BBQ Ribs Vs. $256 BBQ Ribs • Korea</v>
      </c>
      <c r="K68" s="11" t="s">
        <v>30</v>
      </c>
      <c r="L68" s="11" t="str">
        <f>VLOOKUP(A68, Map!A:G,2)</f>
        <v/>
      </c>
      <c r="M68" s="11" t="s">
        <v>298</v>
      </c>
      <c r="N68" s="2" t="s">
        <v>445</v>
      </c>
      <c r="O68" s="2" t="s">
        <v>446</v>
      </c>
      <c r="P68" s="2"/>
      <c r="Q68" s="2"/>
      <c r="R68" s="2"/>
      <c r="S68" s="2"/>
      <c r="T68" s="2" t="s">
        <v>51</v>
      </c>
      <c r="U68" s="15"/>
    </row>
    <row r="69">
      <c r="A69" s="6" t="str">
        <f>HYPERLINK("www.bartong.com/","Barton G.")</f>
        <v>Barton G.</v>
      </c>
      <c r="B69" s="7" t="s">
        <v>299</v>
      </c>
      <c r="C69" s="2" t="s">
        <v>33</v>
      </c>
      <c r="D69" s="2">
        <v>3.0</v>
      </c>
      <c r="E69" s="2">
        <v>1.0</v>
      </c>
      <c r="F69" s="12">
        <v>195.0</v>
      </c>
      <c r="G69" s="2" t="s">
        <v>459</v>
      </c>
      <c r="H69" s="13" t="s">
        <v>303</v>
      </c>
      <c r="I69" s="14">
        <v>42974.0</v>
      </c>
      <c r="J69" s="17" t="str">
        <f t="shared" si="1"/>
        <v>$3 Mac 'N' Cheese Vs. $195 Mac 'N' Cheese</v>
      </c>
      <c r="K69" s="11" t="s">
        <v>30</v>
      </c>
      <c r="L69" s="11" t="str">
        <f>VLOOKUP(A69, Map!A:G,2)</f>
        <v>#N/A</v>
      </c>
      <c r="M69" s="11" t="s">
        <v>302</v>
      </c>
      <c r="N69" s="2" t="s">
        <v>39</v>
      </c>
      <c r="O69" s="12" t="s">
        <v>40</v>
      </c>
      <c r="P69" s="15"/>
      <c r="Q69" s="15"/>
      <c r="R69" s="15"/>
      <c r="S69" s="15"/>
      <c r="T69" s="15"/>
      <c r="U69" s="15"/>
    </row>
    <row r="70">
      <c r="A70" s="6" t="str">
        <f>HYPERLINK("https://www.facebook.com/ChefMarilynsSoulFoodExpress/","Chef Marilyn's")</f>
        <v>Chef Marilyn's</v>
      </c>
      <c r="B70" s="7" t="s">
        <v>299</v>
      </c>
      <c r="C70" s="2" t="s">
        <v>41</v>
      </c>
      <c r="D70" s="2">
        <v>3.0</v>
      </c>
      <c r="E70" s="2">
        <v>1.0</v>
      </c>
      <c r="F70" s="12">
        <v>3.0</v>
      </c>
      <c r="G70" s="2" t="s">
        <v>470</v>
      </c>
      <c r="H70" s="13" t="s">
        <v>303</v>
      </c>
      <c r="I70" s="14">
        <v>42974.0</v>
      </c>
      <c r="J70" s="17" t="str">
        <f t="shared" si="1"/>
        <v>$3 Mac 'N' Cheese Vs. $195 Mac 'N' Cheese</v>
      </c>
      <c r="K70" s="11" t="s">
        <v>30</v>
      </c>
      <c r="L70" s="11" t="str">
        <f>VLOOKUP(A70, Map!A:G,2)</f>
        <v>$5 Pizza Vs. $135 Pizza</v>
      </c>
      <c r="M70" s="11" t="s">
        <v>307</v>
      </c>
      <c r="N70" s="2" t="s">
        <v>39</v>
      </c>
      <c r="O70" s="25" t="s">
        <v>40</v>
      </c>
      <c r="P70" s="2"/>
      <c r="Q70" s="2"/>
      <c r="R70" s="2"/>
      <c r="S70" s="2"/>
      <c r="T70" s="2" t="s">
        <v>51</v>
      </c>
      <c r="U70" s="15"/>
    </row>
    <row r="71">
      <c r="A71" s="6" t="str">
        <f>HYPERLINK("http://littlejewel.la/","Little Jewel of New Orleans")</f>
        <v>Little Jewel of New Orleans</v>
      </c>
      <c r="B71" s="7" t="s">
        <v>299</v>
      </c>
      <c r="C71" s="2" t="s">
        <v>21</v>
      </c>
      <c r="D71" s="2">
        <v>3.0</v>
      </c>
      <c r="E71" s="2">
        <v>1.0</v>
      </c>
      <c r="F71" s="12">
        <v>13.99</v>
      </c>
      <c r="G71" s="2" t="s">
        <v>474</v>
      </c>
      <c r="H71" s="13" t="s">
        <v>303</v>
      </c>
      <c r="I71" s="14">
        <v>42974.0</v>
      </c>
      <c r="J71" s="17" t="str">
        <f t="shared" si="1"/>
        <v>$3 Mac 'N' Cheese Vs. $195 Mac 'N' Cheese</v>
      </c>
      <c r="K71" s="11" t="s">
        <v>30</v>
      </c>
      <c r="L71" s="11" t="str">
        <f>VLOOKUP(A71, Map!A:G,2)</f>
        <v>$15 Spaghetti Vs. $143 Spaghetti</v>
      </c>
      <c r="M71" s="11" t="s">
        <v>311</v>
      </c>
      <c r="N71" s="2" t="s">
        <v>39</v>
      </c>
      <c r="O71" s="12" t="s">
        <v>40</v>
      </c>
      <c r="P71" s="2"/>
      <c r="Q71" s="2"/>
      <c r="R71" s="2"/>
      <c r="S71" s="2"/>
      <c r="T71" s="2" t="s">
        <v>108</v>
      </c>
      <c r="U71" s="15"/>
    </row>
    <row r="72">
      <c r="A72" s="6" t="str">
        <f>HYPERLINK("https://barrelandashes.com/","CLOSED Barrel &amp; Ashes")</f>
        <v>CLOSED Barrel &amp; Ashes</v>
      </c>
      <c r="B72" s="7" t="s">
        <v>312</v>
      </c>
      <c r="C72" s="2" t="s">
        <v>21</v>
      </c>
      <c r="D72" s="2">
        <v>3.0</v>
      </c>
      <c r="E72" s="2">
        <v>2.0</v>
      </c>
      <c r="F72" s="12">
        <v>36.0</v>
      </c>
      <c r="G72" s="2" t="s">
        <v>475</v>
      </c>
      <c r="H72" s="13" t="s">
        <v>316</v>
      </c>
      <c r="I72" s="14">
        <v>42981.0</v>
      </c>
      <c r="J72" s="17" t="str">
        <f t="shared" si="1"/>
        <v>$7 BBQ Ribs Vs. $68 BBQ Ribs</v>
      </c>
      <c r="K72" s="11" t="s">
        <v>30</v>
      </c>
      <c r="L72" s="11" t="str">
        <f>VLOOKUP(A72, Map!A:G,2)</f>
        <v>$5 Pizza Vs. $135 Pizza</v>
      </c>
      <c r="M72" s="11" t="s">
        <v>315</v>
      </c>
      <c r="N72" s="2" t="s">
        <v>487</v>
      </c>
      <c r="O72" s="12" t="s">
        <v>40</v>
      </c>
      <c r="P72" s="2"/>
      <c r="Q72" s="2"/>
      <c r="R72" s="2"/>
      <c r="S72" s="2"/>
      <c r="T72" s="2" t="s">
        <v>51</v>
      </c>
      <c r="U72" s="2" t="s">
        <v>318</v>
      </c>
    </row>
    <row r="73">
      <c r="A73" s="6" t="str">
        <f>HYPERLINK("http://www.bigmista.com/","CLOSED Bigmista's Barbecue &amp; Sammich Shop")</f>
        <v>CLOSED Bigmista's Barbecue &amp; Sammich Shop</v>
      </c>
      <c r="B73" s="7" t="s">
        <v>312</v>
      </c>
      <c r="C73" s="2" t="s">
        <v>41</v>
      </c>
      <c r="D73" s="2">
        <v>3.0</v>
      </c>
      <c r="E73" s="2">
        <v>2.0</v>
      </c>
      <c r="F73" s="12">
        <v>7.0</v>
      </c>
      <c r="G73" s="2" t="s">
        <v>489</v>
      </c>
      <c r="H73" s="13" t="s">
        <v>316</v>
      </c>
      <c r="I73" s="14">
        <v>42981.0</v>
      </c>
      <c r="J73" s="17" t="str">
        <f t="shared" si="1"/>
        <v>$7 BBQ Ribs Vs. $68 BBQ Ribs</v>
      </c>
      <c r="K73" s="11" t="s">
        <v>30</v>
      </c>
      <c r="L73" s="11" t="str">
        <f>VLOOKUP(A73, Map!A:G,2)</f>
        <v>$5 Pizza Vs. $135 Pizza</v>
      </c>
      <c r="M73" s="11" t="s">
        <v>321</v>
      </c>
      <c r="N73" s="2" t="s">
        <v>490</v>
      </c>
      <c r="O73" s="12" t="s">
        <v>40</v>
      </c>
      <c r="P73" s="2"/>
      <c r="Q73" s="2"/>
      <c r="R73" s="2"/>
      <c r="S73" s="2"/>
      <c r="T73" s="2" t="s">
        <v>108</v>
      </c>
      <c r="U73" s="15"/>
    </row>
    <row r="74">
      <c r="A74" s="6" t="str">
        <f>HYPERLINK("https://mapleblockmeat.com/","Maple Block Meat Co")</f>
        <v>Maple Block Meat Co</v>
      </c>
      <c r="B74" s="7" t="s">
        <v>312</v>
      </c>
      <c r="C74" s="2" t="s">
        <v>33</v>
      </c>
      <c r="D74" s="2">
        <v>3.0</v>
      </c>
      <c r="E74" s="2">
        <v>2.0</v>
      </c>
      <c r="F74" s="12">
        <v>68.0</v>
      </c>
      <c r="G74" s="2" t="s">
        <v>494</v>
      </c>
      <c r="H74" s="13" t="s">
        <v>316</v>
      </c>
      <c r="I74" s="14">
        <v>42981.0</v>
      </c>
      <c r="J74" s="17" t="str">
        <f t="shared" si="1"/>
        <v>$7 BBQ Ribs Vs. $68 BBQ Ribs</v>
      </c>
      <c r="K74" s="11" t="s">
        <v>30</v>
      </c>
      <c r="L74" s="11" t="str">
        <f>VLOOKUP(A74, Map!A:G,2)</f>
        <v>$15 Spaghetti Vs. $143 Spaghetti</v>
      </c>
      <c r="M74" s="11" t="s">
        <v>325</v>
      </c>
      <c r="N74" s="2" t="s">
        <v>498</v>
      </c>
      <c r="O74" s="12" t="s">
        <v>40</v>
      </c>
      <c r="P74" s="15"/>
      <c r="Q74" s="15"/>
      <c r="R74" s="15"/>
      <c r="S74" s="15"/>
      <c r="T74" s="15"/>
      <c r="U74" s="2" t="s">
        <v>318</v>
      </c>
    </row>
    <row r="75">
      <c r="A75" s="6" t="str">
        <f>HYPERLINK("https://www.cirrusdining.com.au/","Cirrus")</f>
        <v>Cirrus</v>
      </c>
      <c r="B75" s="7" t="s">
        <v>326</v>
      </c>
      <c r="C75" s="2" t="s">
        <v>21</v>
      </c>
      <c r="D75" s="2">
        <v>3.0</v>
      </c>
      <c r="E75" s="2">
        <v>3.0</v>
      </c>
      <c r="F75" s="12">
        <v>42.0</v>
      </c>
      <c r="G75" s="2" t="s">
        <v>504</v>
      </c>
      <c r="H75" s="13" t="s">
        <v>330</v>
      </c>
      <c r="I75" s="14">
        <v>42988.0</v>
      </c>
      <c r="J75" s="17" t="str">
        <f t="shared" si="1"/>
        <v>$3 Seafood Vs. $213 Seafood • Australia</v>
      </c>
      <c r="K75" s="11" t="s">
        <v>30</v>
      </c>
      <c r="L75" s="11" t="str">
        <f>VLOOKUP(A75, Map!A:G,2)</f>
        <v>$5 Pizza Vs. $135 Pizza</v>
      </c>
      <c r="M75" s="11" t="s">
        <v>329</v>
      </c>
      <c r="N75" s="2" t="s">
        <v>506</v>
      </c>
      <c r="O75" s="12" t="s">
        <v>507</v>
      </c>
      <c r="P75" s="2"/>
      <c r="Q75" s="2"/>
      <c r="R75" s="2"/>
      <c r="S75" s="2"/>
      <c r="T75" s="2" t="s">
        <v>158</v>
      </c>
      <c r="U75" s="2" t="s">
        <v>332</v>
      </c>
    </row>
    <row r="76">
      <c r="A76" s="6" t="str">
        <f>HYPERLINK("http://www.doyles.com.au/","Doyle's Oyster Bar")</f>
        <v>Doyle's Oyster Bar</v>
      </c>
      <c r="B76" s="7" t="s">
        <v>326</v>
      </c>
      <c r="C76" s="2" t="s">
        <v>41</v>
      </c>
      <c r="D76" s="2">
        <v>3.0</v>
      </c>
      <c r="E76" s="2">
        <v>3.0</v>
      </c>
      <c r="F76" s="12">
        <v>3.0</v>
      </c>
      <c r="G76" s="2" t="s">
        <v>511</v>
      </c>
      <c r="H76" s="13" t="s">
        <v>330</v>
      </c>
      <c r="I76" s="14">
        <v>42988.0</v>
      </c>
      <c r="J76" s="17" t="str">
        <f t="shared" si="1"/>
        <v>$3 Seafood Vs. $213 Seafood • Australia</v>
      </c>
      <c r="K76" s="11" t="s">
        <v>30</v>
      </c>
      <c r="L76" s="11" t="str">
        <f>VLOOKUP(A76, Map!A:G,2)</f>
        <v>$5 Pizza Vs. $135 Pizza</v>
      </c>
      <c r="M76" s="11" t="s">
        <v>335</v>
      </c>
      <c r="N76" s="2" t="s">
        <v>506</v>
      </c>
      <c r="O76" s="12" t="s">
        <v>507</v>
      </c>
      <c r="P76" s="15"/>
      <c r="Q76" s="15"/>
      <c r="R76" s="15"/>
      <c r="S76" s="15"/>
      <c r="T76" s="15"/>
      <c r="U76" s="2" t="s">
        <v>336</v>
      </c>
    </row>
    <row r="77">
      <c r="A77" s="6" t="str">
        <f>HYPERLINK("https://www.crownmelbourne.com.au/restaurants/premium/silks/info-booking","Silks")</f>
        <v>Silks</v>
      </c>
      <c r="B77" s="7" t="s">
        <v>326</v>
      </c>
      <c r="C77" s="2" t="s">
        <v>33</v>
      </c>
      <c r="D77" s="2">
        <v>3.0</v>
      </c>
      <c r="E77" s="2">
        <v>3.0</v>
      </c>
      <c r="F77" s="12">
        <v>213.0</v>
      </c>
      <c r="G77" s="2" t="s">
        <v>520</v>
      </c>
      <c r="H77" s="13" t="s">
        <v>330</v>
      </c>
      <c r="I77" s="14">
        <v>42988.0</v>
      </c>
      <c r="J77" s="17" t="str">
        <f t="shared" si="1"/>
        <v>$3 Seafood Vs. $213 Seafood • Australia</v>
      </c>
      <c r="K77" s="11" t="s">
        <v>30</v>
      </c>
      <c r="L77" s="11" t="str">
        <f>VLOOKUP(A77, Map!A:G,2)</f>
        <v/>
      </c>
      <c r="M77" s="11" t="s">
        <v>340</v>
      </c>
      <c r="N77" s="2" t="s">
        <v>521</v>
      </c>
      <c r="O77" s="12" t="s">
        <v>507</v>
      </c>
      <c r="P77" s="15"/>
      <c r="Q77" s="15"/>
      <c r="R77" s="15"/>
      <c r="S77" s="15"/>
      <c r="T77" s="15"/>
      <c r="U77" s="2" t="s">
        <v>332</v>
      </c>
    </row>
    <row r="78">
      <c r="A78" s="6" t="str">
        <f>HYPERLINK("https://www.allsaintswine.com.au/","All Saints Estate Winery")</f>
        <v>All Saints Estate Winery</v>
      </c>
      <c r="B78" s="7" t="s">
        <v>342</v>
      </c>
      <c r="C78" s="2" t="s">
        <v>33</v>
      </c>
      <c r="D78" s="2">
        <v>3.0</v>
      </c>
      <c r="E78" s="2">
        <v>4.0</v>
      </c>
      <c r="F78" s="12">
        <v>1000.0</v>
      </c>
      <c r="G78" s="2" t="s">
        <v>522</v>
      </c>
      <c r="H78" s="13" t="s">
        <v>347</v>
      </c>
      <c r="I78" s="14">
        <v>42995.0</v>
      </c>
      <c r="J78" s="17" t="str">
        <f t="shared" si="1"/>
        <v>$18 Wine Vs. $1,000 Wine</v>
      </c>
      <c r="K78" s="11" t="s">
        <v>30</v>
      </c>
      <c r="L78" s="11" t="str">
        <f>VLOOKUP(A78, Map!A:G,2)</f>
        <v>#N/A</v>
      </c>
      <c r="M78" s="11" t="s">
        <v>346</v>
      </c>
      <c r="N78" s="2" t="s">
        <v>529</v>
      </c>
      <c r="O78" s="12" t="s">
        <v>507</v>
      </c>
      <c r="P78" s="2"/>
      <c r="Q78" s="2"/>
      <c r="R78" s="2"/>
      <c r="S78" s="2"/>
      <c r="T78" s="2" t="s">
        <v>51</v>
      </c>
      <c r="U78" s="2" t="s">
        <v>348</v>
      </c>
    </row>
    <row r="79">
      <c r="A79" s="6" t="str">
        <f>HYPERLINK("https://www.fowleswine.com/","Fowles Wine")</f>
        <v>Fowles Wine</v>
      </c>
      <c r="B79" s="7" t="s">
        <v>342</v>
      </c>
      <c r="C79" s="2" t="s">
        <v>21</v>
      </c>
      <c r="D79" s="2">
        <v>3.0</v>
      </c>
      <c r="E79" s="2">
        <v>4.0</v>
      </c>
      <c r="F79" s="12">
        <v>35.0</v>
      </c>
      <c r="G79" s="2" t="s">
        <v>535</v>
      </c>
      <c r="H79" s="13" t="s">
        <v>347</v>
      </c>
      <c r="I79" s="14">
        <v>42995.0</v>
      </c>
      <c r="J79" s="17" t="str">
        <f t="shared" si="1"/>
        <v>$18 Wine Vs. $1,000 Wine</v>
      </c>
      <c r="K79" s="11" t="s">
        <v>30</v>
      </c>
      <c r="L79" s="11" t="str">
        <f>VLOOKUP(A79, Map!A:G,2)</f>
        <v>$5 Pizza Vs. $135 Pizza</v>
      </c>
      <c r="M79" s="11" t="s">
        <v>351</v>
      </c>
      <c r="N79" s="2" t="s">
        <v>536</v>
      </c>
      <c r="O79" s="12" t="s">
        <v>507</v>
      </c>
      <c r="P79" s="2"/>
      <c r="Q79" s="2"/>
      <c r="R79" s="2"/>
      <c r="S79" s="2"/>
      <c r="T79" s="2" t="s">
        <v>108</v>
      </c>
      <c r="U79" s="2" t="s">
        <v>332</v>
      </c>
    </row>
    <row r="80">
      <c r="A80" s="6" t="str">
        <f>HYPERLINK("http://www.tahbilk.com.au/","Tahbilk Winery")</f>
        <v>Tahbilk Winery</v>
      </c>
      <c r="B80" s="7" t="s">
        <v>342</v>
      </c>
      <c r="C80" s="2" t="s">
        <v>41</v>
      </c>
      <c r="D80" s="2">
        <v>3.0</v>
      </c>
      <c r="E80" s="2">
        <v>4.0</v>
      </c>
      <c r="F80" s="12">
        <v>17.95</v>
      </c>
      <c r="G80" s="2" t="s">
        <v>537</v>
      </c>
      <c r="H80" s="13" t="s">
        <v>347</v>
      </c>
      <c r="I80" s="14">
        <v>42995.0</v>
      </c>
      <c r="J80" s="17" t="str">
        <f t="shared" si="1"/>
        <v>$18 Wine Vs. $1,000 Wine</v>
      </c>
      <c r="K80" s="11" t="s">
        <v>30</v>
      </c>
      <c r="L80" s="11" t="str">
        <f>VLOOKUP(A80, Map!A:G,2)</f>
        <v/>
      </c>
      <c r="M80" s="11" t="s">
        <v>355</v>
      </c>
      <c r="N80" s="2" t="s">
        <v>538</v>
      </c>
      <c r="O80" s="12" t="s">
        <v>507</v>
      </c>
      <c r="P80" s="15"/>
      <c r="Q80" s="15"/>
      <c r="R80" s="15"/>
      <c r="S80" s="15"/>
      <c r="T80" s="15"/>
      <c r="U80" s="2" t="s">
        <v>332</v>
      </c>
    </row>
    <row r="81">
      <c r="A81" s="6" t="str">
        <f>HYPERLINK("https://donovans.com.au/","Donovan's")</f>
        <v>Donovan's</v>
      </c>
      <c r="B81" s="7" t="s">
        <v>356</v>
      </c>
      <c r="C81" s="2" t="s">
        <v>21</v>
      </c>
      <c r="D81" s="2">
        <v>3.0</v>
      </c>
      <c r="E81" s="2">
        <v>5.0</v>
      </c>
      <c r="F81" s="12">
        <v>63.0</v>
      </c>
      <c r="G81" s="2" t="s">
        <v>542</v>
      </c>
      <c r="H81" s="13" t="s">
        <v>360</v>
      </c>
      <c r="I81" s="14">
        <v>43002.0</v>
      </c>
      <c r="J81" s="17" t="str">
        <f t="shared" si="1"/>
        <v>$16 Steak Vs. $150 Steak • Australia</v>
      </c>
      <c r="K81" s="11" t="s">
        <v>30</v>
      </c>
      <c r="L81" s="11" t="str">
        <f>VLOOKUP(A81, Map!A:G,2)</f>
        <v>$5 Pizza Vs. $135 Pizza</v>
      </c>
      <c r="M81" s="11" t="s">
        <v>359</v>
      </c>
      <c r="N81" s="2" t="s">
        <v>521</v>
      </c>
      <c r="O81" s="12" t="s">
        <v>507</v>
      </c>
      <c r="P81" s="2"/>
      <c r="Q81" s="2"/>
      <c r="R81" s="2"/>
      <c r="S81" s="2"/>
      <c r="T81" s="2" t="s">
        <v>108</v>
      </c>
      <c r="U81" s="2" t="s">
        <v>332</v>
      </c>
    </row>
    <row r="82">
      <c r="A82" s="6" t="str">
        <f t="shared" ref="A82:A83" si="9">HYPERLINK("http://www.rockpool.com/rockpoolbarandgrillsydney/","Rockpool Bar &amp; Grill")</f>
        <v>Rockpool Bar &amp; Grill</v>
      </c>
      <c r="B82" s="7" t="s">
        <v>356</v>
      </c>
      <c r="C82" s="2" t="s">
        <v>33</v>
      </c>
      <c r="D82" s="2">
        <v>3.0</v>
      </c>
      <c r="E82" s="2">
        <v>5.0</v>
      </c>
      <c r="F82" s="12">
        <v>69.0</v>
      </c>
      <c r="G82" s="2" t="s">
        <v>552</v>
      </c>
      <c r="H82" s="13" t="s">
        <v>360</v>
      </c>
      <c r="I82" s="14">
        <v>43002.0</v>
      </c>
      <c r="J82" s="17" t="str">
        <f t="shared" si="1"/>
        <v>$16 Steak Vs. $150 Steak • Australia</v>
      </c>
      <c r="K82" s="11" t="s">
        <v>30</v>
      </c>
      <c r="L82" s="11" t="str">
        <f>VLOOKUP(A82, Map!A:G,2)</f>
        <v/>
      </c>
      <c r="M82" s="11" t="s">
        <v>365</v>
      </c>
      <c r="N82" s="2" t="s">
        <v>506</v>
      </c>
      <c r="O82" s="12" t="s">
        <v>507</v>
      </c>
      <c r="P82" s="2"/>
      <c r="Q82" s="2"/>
      <c r="R82" s="2"/>
      <c r="S82" s="2"/>
      <c r="T82" s="2" t="s">
        <v>51</v>
      </c>
      <c r="U82" s="2" t="s">
        <v>332</v>
      </c>
    </row>
    <row r="83">
      <c r="A83" s="6" t="str">
        <f t="shared" si="9"/>
        <v>Rockpool Bar &amp; Grill</v>
      </c>
      <c r="B83" s="7" t="s">
        <v>356</v>
      </c>
      <c r="C83" s="2" t="s">
        <v>33</v>
      </c>
      <c r="D83" s="2">
        <v>3.0</v>
      </c>
      <c r="E83" s="2">
        <v>5.0</v>
      </c>
      <c r="F83" s="12">
        <v>150.0</v>
      </c>
      <c r="G83" s="2" t="s">
        <v>556</v>
      </c>
      <c r="H83" s="13" t="s">
        <v>360</v>
      </c>
      <c r="I83" s="14">
        <v>43002.0</v>
      </c>
      <c r="J83" s="17" t="str">
        <f t="shared" si="1"/>
        <v>$16 Steak Vs. $150 Steak • Australia</v>
      </c>
      <c r="K83" s="11" t="s">
        <v>30</v>
      </c>
      <c r="L83" s="11" t="str">
        <f>VLOOKUP(A83, Map!A:G,2)</f>
        <v/>
      </c>
      <c r="M83" s="11" t="s">
        <v>365</v>
      </c>
      <c r="N83" s="2" t="s">
        <v>506</v>
      </c>
      <c r="O83" s="12" t="s">
        <v>507</v>
      </c>
      <c r="P83" s="15"/>
      <c r="Q83" s="15"/>
      <c r="R83" s="15"/>
      <c r="S83" s="15"/>
      <c r="T83" s="15"/>
      <c r="U83" s="2" t="s">
        <v>332</v>
      </c>
    </row>
    <row r="84">
      <c r="A84" s="6" t="str">
        <f>HYPERLINK("https://www.clovellyhotel.com.au/","The Clovelly Hotel")</f>
        <v>The Clovelly Hotel</v>
      </c>
      <c r="B84" s="7" t="s">
        <v>356</v>
      </c>
      <c r="C84" s="2" t="s">
        <v>41</v>
      </c>
      <c r="D84" s="2">
        <v>3.0</v>
      </c>
      <c r="E84" s="2">
        <v>5.0</v>
      </c>
      <c r="F84" s="12">
        <v>16.0</v>
      </c>
      <c r="G84" s="2" t="s">
        <v>563</v>
      </c>
      <c r="H84" s="13" t="s">
        <v>360</v>
      </c>
      <c r="I84" s="14">
        <v>43002.0</v>
      </c>
      <c r="J84" s="17" t="str">
        <f t="shared" si="1"/>
        <v>$16 Steak Vs. $150 Steak • Australia</v>
      </c>
      <c r="K84" s="11" t="s">
        <v>30</v>
      </c>
      <c r="L84" s="11" t="str">
        <f>VLOOKUP(A84, Map!A:G,2)</f>
        <v/>
      </c>
      <c r="M84" s="11" t="s">
        <v>369</v>
      </c>
      <c r="N84" s="2" t="s">
        <v>506</v>
      </c>
      <c r="O84" s="12" t="s">
        <v>507</v>
      </c>
      <c r="P84" s="15"/>
      <c r="Q84" s="15"/>
      <c r="R84" s="15"/>
      <c r="S84" s="15"/>
      <c r="T84" s="15"/>
      <c r="U84" s="2" t="s">
        <v>332</v>
      </c>
    </row>
    <row r="85">
      <c r="A85" s="6" t="str">
        <f>HYPERLINK("https://noodlebar-ny.momofuku.com/","Momofuku Noodle Bar")</f>
        <v>Momofuku Noodle Bar</v>
      </c>
      <c r="B85" s="7" t="s">
        <v>370</v>
      </c>
      <c r="C85" s="2" t="s">
        <v>33</v>
      </c>
      <c r="D85" s="2">
        <v>3.0</v>
      </c>
      <c r="E85" s="2">
        <v>6.0</v>
      </c>
      <c r="F85" s="12">
        <v>500.0</v>
      </c>
      <c r="G85" s="2" t="s">
        <v>569</v>
      </c>
      <c r="H85" s="13" t="s">
        <v>374</v>
      </c>
      <c r="I85" s="14">
        <v>43009.0</v>
      </c>
      <c r="J85" s="17" t="str">
        <f t="shared" si="1"/>
        <v>$17 Fried Chicken Vs. $500 Fried Chicken</v>
      </c>
      <c r="K85" s="2" t="s">
        <v>37</v>
      </c>
      <c r="L85" s="11" t="str">
        <f>VLOOKUP(A85, Map!A:G,2)</f>
        <v>$15 Spaghetti Vs. $143 Spaghetti</v>
      </c>
      <c r="M85" s="11" t="s">
        <v>373</v>
      </c>
      <c r="N85" s="2" t="s">
        <v>341</v>
      </c>
      <c r="O85" s="12" t="s">
        <v>40</v>
      </c>
      <c r="P85" s="2"/>
      <c r="Q85" s="2"/>
      <c r="R85" s="2"/>
      <c r="S85" s="2"/>
      <c r="T85" s="2" t="s">
        <v>108</v>
      </c>
      <c r="U85" s="2" t="s">
        <v>377</v>
      </c>
    </row>
    <row r="86">
      <c r="A86" s="6" t="str">
        <f>HYPERLINK("https://www.redroosterharlem.com/","Red Rooster")</f>
        <v>Red Rooster</v>
      </c>
      <c r="B86" s="7" t="s">
        <v>370</v>
      </c>
      <c r="C86" s="2" t="s">
        <v>21</v>
      </c>
      <c r="D86" s="2">
        <v>3.0</v>
      </c>
      <c r="E86" s="2">
        <v>6.0</v>
      </c>
      <c r="F86" s="12">
        <v>27.0</v>
      </c>
      <c r="G86" s="2" t="s">
        <v>579</v>
      </c>
      <c r="H86" s="13" t="s">
        <v>374</v>
      </c>
      <c r="I86" s="14">
        <v>43009.0</v>
      </c>
      <c r="J86" s="17" t="str">
        <f t="shared" si="1"/>
        <v>$17 Fried Chicken Vs. $500 Fried Chicken</v>
      </c>
      <c r="K86" s="11" t="s">
        <v>30</v>
      </c>
      <c r="L86" s="11" t="str">
        <f>VLOOKUP(A86, Map!A:G,2)</f>
        <v/>
      </c>
      <c r="M86" s="11" t="s">
        <v>380</v>
      </c>
      <c r="N86" s="2" t="s">
        <v>341</v>
      </c>
      <c r="O86" s="12" t="s">
        <v>40</v>
      </c>
      <c r="P86" s="2"/>
      <c r="Q86" s="2"/>
      <c r="R86" s="2"/>
      <c r="S86" s="2"/>
      <c r="T86" s="2" t="s">
        <v>51</v>
      </c>
      <c r="U86" s="15"/>
    </row>
    <row r="87">
      <c r="A87" s="6" t="str">
        <f>HYPERLINK("http://sylviasrestaurant.com/","Sylvia's Restaurant")</f>
        <v>Sylvia's Restaurant</v>
      </c>
      <c r="B87" s="7" t="s">
        <v>370</v>
      </c>
      <c r="C87" s="2" t="s">
        <v>41</v>
      </c>
      <c r="D87" s="2">
        <v>3.0</v>
      </c>
      <c r="E87" s="2">
        <v>6.0</v>
      </c>
      <c r="F87" s="12">
        <v>16.95</v>
      </c>
      <c r="G87" s="2" t="s">
        <v>586</v>
      </c>
      <c r="H87" s="13" t="s">
        <v>374</v>
      </c>
      <c r="I87" s="14">
        <v>43009.0</v>
      </c>
      <c r="J87" s="17" t="str">
        <f t="shared" si="1"/>
        <v>$17 Fried Chicken Vs. $500 Fried Chicken</v>
      </c>
      <c r="K87" s="11" t="s">
        <v>30</v>
      </c>
      <c r="L87" s="11" t="str">
        <f>VLOOKUP(A87, Map!A:G,2)</f>
        <v/>
      </c>
      <c r="M87" s="11" t="s">
        <v>384</v>
      </c>
      <c r="N87" s="2" t="s">
        <v>341</v>
      </c>
      <c r="O87" s="12" t="s">
        <v>40</v>
      </c>
      <c r="P87" s="15"/>
      <c r="Q87" s="15"/>
      <c r="R87" s="15"/>
      <c r="S87" s="15"/>
      <c r="T87" s="15"/>
      <c r="U87" s="15"/>
    </row>
    <row r="88">
      <c r="A88" s="6" t="str">
        <f>HYPERLINK("https://goo.gl/maps/B1KPAVyD4Z1V4Atx5","CLOSED A-Frame")</f>
        <v>CLOSED A-Frame</v>
      </c>
      <c r="B88" s="7" t="s">
        <v>385</v>
      </c>
      <c r="C88" s="2" t="s">
        <v>21</v>
      </c>
      <c r="D88" s="2">
        <v>3.0</v>
      </c>
      <c r="E88" s="2">
        <v>7.0</v>
      </c>
      <c r="F88" s="12">
        <v>30.0</v>
      </c>
      <c r="G88" s="2" t="s">
        <v>592</v>
      </c>
      <c r="H88" s="13" t="s">
        <v>390</v>
      </c>
      <c r="I88" s="14">
        <v>43016.0</v>
      </c>
      <c r="J88" s="17" t="str">
        <f t="shared" si="1"/>
        <v>$19 Brunch Vs. $113 Brunch</v>
      </c>
      <c r="K88" s="11" t="s">
        <v>30</v>
      </c>
      <c r="L88" s="11" t="str">
        <f>VLOOKUP(A88, Map!A:G,2)</f>
        <v>$5 Pizza Vs. $135 Pizza</v>
      </c>
      <c r="M88" s="11" t="s">
        <v>389</v>
      </c>
      <c r="N88" s="2" t="s">
        <v>498</v>
      </c>
      <c r="O88" s="12" t="s">
        <v>40</v>
      </c>
      <c r="P88" s="2"/>
      <c r="Q88" s="2"/>
      <c r="R88" s="2"/>
      <c r="S88" s="2"/>
      <c r="T88" s="2" t="s">
        <v>108</v>
      </c>
      <c r="U88" s="15"/>
    </row>
    <row r="89">
      <c r="A89" s="6" t="str">
        <f>HYPERLINK("https://www.myhomestate.com/menu/","Homestate")</f>
        <v>Homestate</v>
      </c>
      <c r="B89" s="7" t="s">
        <v>385</v>
      </c>
      <c r="C89" s="2" t="s">
        <v>41</v>
      </c>
      <c r="D89" s="2">
        <v>3.0</v>
      </c>
      <c r="E89" s="2">
        <v>7.0</v>
      </c>
      <c r="F89" s="12">
        <v>18.75</v>
      </c>
      <c r="G89" s="2" t="s">
        <v>605</v>
      </c>
      <c r="H89" s="13" t="s">
        <v>390</v>
      </c>
      <c r="I89" s="14">
        <v>43016.0</v>
      </c>
      <c r="J89" s="17" t="str">
        <f t="shared" si="1"/>
        <v>$19 Brunch Vs. $113 Brunch</v>
      </c>
      <c r="K89" s="11" t="s">
        <v>30</v>
      </c>
      <c r="L89" s="11" t="str">
        <f>VLOOKUP(A89, Map!A:G,2)</f>
        <v>$5 Pizza Vs. $135 Pizza</v>
      </c>
      <c r="M89" s="11" t="s">
        <v>394</v>
      </c>
      <c r="N89" s="2" t="s">
        <v>39</v>
      </c>
      <c r="O89" s="12" t="s">
        <v>40</v>
      </c>
      <c r="P89" s="2"/>
      <c r="Q89" s="2"/>
      <c r="R89" s="2"/>
      <c r="S89" s="2"/>
      <c r="T89" s="2" t="s">
        <v>51</v>
      </c>
      <c r="U89" s="15"/>
    </row>
    <row r="90">
      <c r="A90" s="6" t="str">
        <f>HYPERLINK("https://www.peninsula.com/en/beverly-hills/hotel-fine-dining/belvedere-mediterranean","The Belvedere")</f>
        <v>The Belvedere</v>
      </c>
      <c r="B90" s="7" t="s">
        <v>385</v>
      </c>
      <c r="C90" s="2" t="s">
        <v>33</v>
      </c>
      <c r="D90" s="2">
        <v>3.0</v>
      </c>
      <c r="E90" s="2">
        <v>7.0</v>
      </c>
      <c r="F90" s="12">
        <v>113.0</v>
      </c>
      <c r="G90" s="2" t="s">
        <v>610</v>
      </c>
      <c r="H90" s="13" t="s">
        <v>390</v>
      </c>
      <c r="I90" s="14">
        <v>43016.0</v>
      </c>
      <c r="J90" s="17" t="str">
        <f t="shared" si="1"/>
        <v>$19 Brunch Vs. $113 Brunch</v>
      </c>
      <c r="K90" s="11" t="s">
        <v>30</v>
      </c>
      <c r="L90" s="11" t="str">
        <f>VLOOKUP(A90, Map!A:G,2)</f>
        <v/>
      </c>
      <c r="M90" s="11" t="s">
        <v>398</v>
      </c>
      <c r="N90" s="2" t="s">
        <v>39</v>
      </c>
      <c r="O90" s="12" t="s">
        <v>40</v>
      </c>
      <c r="P90" s="15"/>
      <c r="Q90" s="15"/>
      <c r="R90" s="15"/>
      <c r="S90" s="15"/>
      <c r="T90" s="15"/>
      <c r="U90" s="15"/>
    </row>
    <row r="91">
      <c r="A91" s="6" t="str">
        <f>HYPERLINK("https://www.facebook.com/mengekijyougeneiroppongi/?ref=py_c&amp;utm_source=tripadvisor&amp;utm_medium=referral","CLOSED Genei Tokyo")</f>
        <v>CLOSED Genei Tokyo</v>
      </c>
      <c r="B91" s="7" t="s">
        <v>399</v>
      </c>
      <c r="C91" s="2" t="s">
        <v>33</v>
      </c>
      <c r="D91" s="2">
        <v>3.0</v>
      </c>
      <c r="E91" s="2">
        <v>8.0</v>
      </c>
      <c r="F91" s="12">
        <v>79.0</v>
      </c>
      <c r="G91" s="2" t="s">
        <v>615</v>
      </c>
      <c r="H91" s="13" t="s">
        <v>403</v>
      </c>
      <c r="I91" s="14">
        <v>43023.0</v>
      </c>
      <c r="J91" s="17" t="str">
        <f t="shared" si="1"/>
        <v>$3 Ramen Vs. $79 Ramen • Japan</v>
      </c>
      <c r="K91" s="11" t="s">
        <v>30</v>
      </c>
      <c r="L91" s="11" t="str">
        <f>VLOOKUP(A91, Map!A:G,2)</f>
        <v>$5 Pizza Vs. $135 Pizza</v>
      </c>
      <c r="M91" s="11" t="s">
        <v>402</v>
      </c>
      <c r="N91" s="2" t="s">
        <v>620</v>
      </c>
      <c r="O91" s="12" t="s">
        <v>621</v>
      </c>
      <c r="P91" s="15"/>
      <c r="Q91" s="15"/>
      <c r="R91" s="15"/>
      <c r="S91" s="15"/>
      <c r="T91" s="15"/>
      <c r="U91" s="2" t="s">
        <v>404</v>
      </c>
    </row>
    <row r="92">
      <c r="A92" s="6" t="str">
        <f>HYPERLINK("http://rinrin.food46.com/","Rinrin")</f>
        <v>Rinrin</v>
      </c>
      <c r="B92" s="7" t="s">
        <v>399</v>
      </c>
      <c r="C92" s="2" t="s">
        <v>41</v>
      </c>
      <c r="D92" s="2">
        <v>3.0</v>
      </c>
      <c r="E92" s="2">
        <v>8.0</v>
      </c>
      <c r="F92" s="12">
        <v>3.0</v>
      </c>
      <c r="G92" s="2" t="s">
        <v>625</v>
      </c>
      <c r="H92" s="13" t="s">
        <v>403</v>
      </c>
      <c r="I92" s="14">
        <v>43023.0</v>
      </c>
      <c r="J92" s="17" t="str">
        <f t="shared" si="1"/>
        <v>$3 Ramen Vs. $79 Ramen • Japan</v>
      </c>
      <c r="K92" s="11" t="s">
        <v>30</v>
      </c>
      <c r="L92" s="11" t="str">
        <f>VLOOKUP(A92, Map!A:G,2)</f>
        <v/>
      </c>
      <c r="M92" s="11" t="s">
        <v>408</v>
      </c>
      <c r="N92" s="2" t="s">
        <v>620</v>
      </c>
      <c r="O92" s="12" t="s">
        <v>621</v>
      </c>
      <c r="P92" s="2"/>
      <c r="Q92" s="2"/>
      <c r="R92" s="2"/>
      <c r="S92" s="2"/>
      <c r="T92" s="2" t="s">
        <v>108</v>
      </c>
      <c r="U92" s="15"/>
    </row>
    <row r="93">
      <c r="A93" s="6" t="str">
        <f>HYPERLINK("http://www.tsuta.com/","Tsuta Japanese Soba Noodles")</f>
        <v>Tsuta Japanese Soba Noodles</v>
      </c>
      <c r="B93" s="7" t="s">
        <v>399</v>
      </c>
      <c r="C93" s="2" t="s">
        <v>21</v>
      </c>
      <c r="D93" s="2">
        <v>3.0</v>
      </c>
      <c r="E93" s="2">
        <v>8.0</v>
      </c>
      <c r="F93" s="12">
        <v>8.0</v>
      </c>
      <c r="G93" s="2" t="s">
        <v>630</v>
      </c>
      <c r="H93" s="13" t="s">
        <v>403</v>
      </c>
      <c r="I93" s="14">
        <v>43023.0</v>
      </c>
      <c r="J93" s="17" t="str">
        <f t="shared" si="1"/>
        <v>$3 Ramen Vs. $79 Ramen • Japan</v>
      </c>
      <c r="K93" s="11" t="s">
        <v>30</v>
      </c>
      <c r="L93" s="11" t="str">
        <f>VLOOKUP(A93, Map!A:G,2)</f>
        <v/>
      </c>
      <c r="M93" s="11" t="s">
        <v>411</v>
      </c>
      <c r="N93" s="2" t="s">
        <v>620</v>
      </c>
      <c r="O93" s="12" t="s">
        <v>621</v>
      </c>
      <c r="P93" s="2"/>
      <c r="Q93" s="2"/>
      <c r="R93" s="2"/>
      <c r="S93" s="2"/>
      <c r="T93" s="2" t="s">
        <v>108</v>
      </c>
      <c r="U93" s="15"/>
    </row>
    <row r="94">
      <c r="A94" s="6" t="str">
        <f>HYPERLINK("https://www.facebook.com/coffeeelementaryschool/","Coffee Elementary School")</f>
        <v>Coffee Elementary School</v>
      </c>
      <c r="B94" s="7" t="s">
        <v>413</v>
      </c>
      <c r="C94" s="2" t="s">
        <v>21</v>
      </c>
      <c r="D94" s="2">
        <v>3.0</v>
      </c>
      <c r="E94" s="2">
        <v>9.0</v>
      </c>
      <c r="F94" s="12">
        <v>4.0</v>
      </c>
      <c r="G94" s="2" t="s">
        <v>635</v>
      </c>
      <c r="H94" s="13" t="s">
        <v>417</v>
      </c>
      <c r="I94" s="14">
        <v>43030.0</v>
      </c>
      <c r="J94" s="17" t="str">
        <f t="shared" si="1"/>
        <v>$1 Coffee Vs. $914 Coffee • Japan</v>
      </c>
      <c r="K94" s="11" t="s">
        <v>30</v>
      </c>
      <c r="L94" s="11" t="str">
        <f>VLOOKUP(A94, Map!A:G,2)</f>
        <v>$5 Pizza Vs. $135 Pizza</v>
      </c>
      <c r="M94" s="11" t="s">
        <v>416</v>
      </c>
      <c r="N94" s="2" t="s">
        <v>620</v>
      </c>
      <c r="O94" s="12" t="s">
        <v>621</v>
      </c>
      <c r="P94" s="2"/>
      <c r="Q94" s="2"/>
      <c r="R94" s="2"/>
      <c r="S94" s="2"/>
      <c r="T94" s="2" t="s">
        <v>158</v>
      </c>
      <c r="U94" s="15"/>
    </row>
    <row r="95">
      <c r="A95" s="6" t="str">
        <f>HYPERLINK("http://www.rostar.jp/","R.O.Star")</f>
        <v>R.O.Star</v>
      </c>
      <c r="B95" s="7" t="s">
        <v>413</v>
      </c>
      <c r="C95" s="2" t="s">
        <v>41</v>
      </c>
      <c r="D95" s="2">
        <v>3.0</v>
      </c>
      <c r="E95" s="2">
        <v>9.0</v>
      </c>
      <c r="F95" s="12">
        <v>1.0</v>
      </c>
      <c r="G95" s="2" t="s">
        <v>644</v>
      </c>
      <c r="H95" s="13" t="s">
        <v>417</v>
      </c>
      <c r="I95" s="14">
        <v>43030.0</v>
      </c>
      <c r="J95" s="17" t="str">
        <f t="shared" si="1"/>
        <v>$1 Coffee Vs. $914 Coffee • Japan</v>
      </c>
      <c r="K95" s="11" t="s">
        <v>30</v>
      </c>
      <c r="L95" s="11" t="str">
        <f>VLOOKUP(A95, Map!A:G,2)</f>
        <v/>
      </c>
      <c r="M95" s="11" t="s">
        <v>421</v>
      </c>
      <c r="N95" s="2" t="s">
        <v>620</v>
      </c>
      <c r="O95" s="12" t="s">
        <v>621</v>
      </c>
      <c r="P95" s="2"/>
      <c r="Q95" s="2"/>
      <c r="R95" s="2"/>
      <c r="S95" s="2"/>
      <c r="T95" s="2" t="s">
        <v>51</v>
      </c>
      <c r="U95" s="15"/>
    </row>
    <row r="96">
      <c r="A96" s="6" t="str">
        <f>HYPERLINK("https://www.yelp.com/biz/%E3%82%B6-%E3%83%9F%E3%83%A5%E3%83%B3%E3%83%92-%E7%8F%88%E7%90%B2%E3%81%A0%E3%81%91%E3%81%AE%E5%BA%97-%E5%85%AB%E5%B0%BE%E5%B8%82","The Münch")</f>
        <v>The Münch</v>
      </c>
      <c r="B96" s="7" t="s">
        <v>413</v>
      </c>
      <c r="C96" s="2" t="s">
        <v>33</v>
      </c>
      <c r="D96" s="2">
        <v>3.0</v>
      </c>
      <c r="E96" s="2">
        <v>9.0</v>
      </c>
      <c r="F96" s="12">
        <v>914.0</v>
      </c>
      <c r="G96" s="2" t="s">
        <v>654</v>
      </c>
      <c r="H96" s="13" t="s">
        <v>417</v>
      </c>
      <c r="I96" s="14">
        <v>43030.0</v>
      </c>
      <c r="J96" s="17" t="str">
        <f t="shared" si="1"/>
        <v>$1 Coffee Vs. $914 Coffee • Japan</v>
      </c>
      <c r="K96" s="11" t="s">
        <v>30</v>
      </c>
      <c r="L96" s="11" t="str">
        <f>VLOOKUP(A96, Map!A:G,2)</f>
        <v/>
      </c>
      <c r="M96" s="11" t="s">
        <v>424</v>
      </c>
      <c r="N96" s="2" t="s">
        <v>656</v>
      </c>
      <c r="O96" s="12" t="s">
        <v>621</v>
      </c>
      <c r="P96" s="15"/>
      <c r="Q96" s="15"/>
      <c r="R96" s="15"/>
      <c r="S96" s="15"/>
      <c r="T96" s="15"/>
      <c r="U96" s="15"/>
    </row>
    <row r="97">
      <c r="A97" s="6" t="str">
        <f>HYPERLINK("https://www.pablo3.com/shop/detail/?seq=32","CLOSED Pablo Coffee")</f>
        <v>CLOSED Pablo Coffee</v>
      </c>
      <c r="B97" s="7" t="s">
        <v>425</v>
      </c>
      <c r="C97" s="2" t="s">
        <v>41</v>
      </c>
      <c r="D97" s="2">
        <v>3.0</v>
      </c>
      <c r="E97" s="2">
        <v>10.0</v>
      </c>
      <c r="F97" s="12">
        <v>7.0</v>
      </c>
      <c r="G97" s="2" t="s">
        <v>658</v>
      </c>
      <c r="H97" s="13" t="s">
        <v>429</v>
      </c>
      <c r="I97" s="14">
        <v>43037.0</v>
      </c>
      <c r="J97" s="17" t="str">
        <f t="shared" si="1"/>
        <v>$7 Cake Vs. $208 Cake • Japan</v>
      </c>
      <c r="K97" s="11" t="s">
        <v>30</v>
      </c>
      <c r="L97" s="11" t="str">
        <f>VLOOKUP(A97, Map!A:G,2)</f>
        <v>$5 Pizza Vs. $135 Pizza</v>
      </c>
      <c r="M97" s="11" t="s">
        <v>428</v>
      </c>
      <c r="N97" s="2" t="s">
        <v>656</v>
      </c>
      <c r="O97" s="12" t="s">
        <v>621</v>
      </c>
      <c r="P97" s="15"/>
      <c r="Q97" s="15"/>
      <c r="R97" s="15"/>
      <c r="S97" s="15"/>
      <c r="T97" s="15"/>
      <c r="U97" s="15"/>
    </row>
    <row r="98">
      <c r="A98" s="6" t="str">
        <f>HYPERLINK("https://www.newotani.co.jp/en/tokyo/restaurant/p-satsuki/","Patisserie Satsuki")</f>
        <v>Patisserie Satsuki</v>
      </c>
      <c r="B98" s="7" t="s">
        <v>425</v>
      </c>
      <c r="C98" s="2" t="s">
        <v>33</v>
      </c>
      <c r="D98" s="2">
        <v>3.0</v>
      </c>
      <c r="E98" s="2">
        <v>10.0</v>
      </c>
      <c r="F98" s="12">
        <v>208.0</v>
      </c>
      <c r="G98" s="2" t="s">
        <v>667</v>
      </c>
      <c r="H98" s="13" t="s">
        <v>429</v>
      </c>
      <c r="I98" s="14">
        <v>43037.0</v>
      </c>
      <c r="J98" s="17" t="str">
        <f t="shared" si="1"/>
        <v>$7 Cake Vs. $208 Cake • Japan</v>
      </c>
      <c r="K98" s="11" t="s">
        <v>30</v>
      </c>
      <c r="L98" s="11" t="str">
        <f>VLOOKUP(A98, Map!A:G,2)</f>
        <v>$15 Spaghetti Vs. $143 Spaghetti</v>
      </c>
      <c r="M98" s="11" t="s">
        <v>434</v>
      </c>
      <c r="N98" s="2" t="s">
        <v>620</v>
      </c>
      <c r="O98" s="12" t="s">
        <v>621</v>
      </c>
      <c r="P98" s="15"/>
      <c r="Q98" s="15"/>
      <c r="R98" s="15"/>
      <c r="S98" s="15"/>
      <c r="T98" s="15"/>
      <c r="U98" s="2" t="s">
        <v>163</v>
      </c>
    </row>
    <row r="99">
      <c r="A99" s="6" t="str">
        <f>HYPERLINK("http://www.theobroma.co.jp/","Théobroma")</f>
        <v>Théobroma</v>
      </c>
      <c r="B99" s="7" t="s">
        <v>425</v>
      </c>
      <c r="C99" s="2" t="s">
        <v>21</v>
      </c>
      <c r="D99" s="2">
        <v>3.0</v>
      </c>
      <c r="E99" s="2">
        <v>10.0</v>
      </c>
      <c r="F99" s="12">
        <v>23.0</v>
      </c>
      <c r="G99" s="2" t="s">
        <v>668</v>
      </c>
      <c r="H99" s="13" t="s">
        <v>429</v>
      </c>
      <c r="I99" s="14">
        <v>43037.0</v>
      </c>
      <c r="J99" s="17" t="str">
        <f t="shared" si="1"/>
        <v>$7 Cake Vs. $208 Cake • Japan</v>
      </c>
      <c r="K99" s="11" t="s">
        <v>30</v>
      </c>
      <c r="L99" s="11" t="str">
        <f>VLOOKUP(A99, Map!A:G,2)</f>
        <v/>
      </c>
      <c r="M99" s="11" t="s">
        <v>437</v>
      </c>
      <c r="N99" s="2" t="s">
        <v>620</v>
      </c>
      <c r="O99" s="12" t="s">
        <v>621</v>
      </c>
      <c r="P99" s="2"/>
      <c r="Q99" s="2"/>
      <c r="R99" s="2"/>
      <c r="S99" s="2"/>
      <c r="T99" s="2" t="s">
        <v>669</v>
      </c>
      <c r="U99" s="15"/>
    </row>
    <row r="100">
      <c r="A100" s="6" t="str">
        <f>HYPERLINK("http://chowgirls.net/","Chowgirls Killer Catering")</f>
        <v>Chowgirls Killer Catering</v>
      </c>
      <c r="B100" s="7" t="s">
        <v>453</v>
      </c>
      <c r="C100" s="2" t="s">
        <v>33</v>
      </c>
      <c r="D100" s="2">
        <v>3.0</v>
      </c>
      <c r="E100" s="2">
        <v>11.0</v>
      </c>
      <c r="F100" s="12">
        <v>456.0</v>
      </c>
      <c r="G100" s="2" t="s">
        <v>670</v>
      </c>
      <c r="H100" s="13" t="s">
        <v>458</v>
      </c>
      <c r="I100" s="14">
        <v>43132.0</v>
      </c>
      <c r="J100" s="17" t="str">
        <f t="shared" si="1"/>
        <v>$10 Game Day Food Vs. $456 Game Day Food • Super Bowl 2018</v>
      </c>
      <c r="K100" s="11" t="s">
        <v>30</v>
      </c>
      <c r="L100" s="11" t="str">
        <f>VLOOKUP(A100, Map!A:G,2)</f>
        <v>$5 Pizza Vs. $135 Pizza</v>
      </c>
      <c r="M100" s="11" t="s">
        <v>457</v>
      </c>
      <c r="N100" s="2" t="s">
        <v>677</v>
      </c>
      <c r="O100" s="12" t="s">
        <v>40</v>
      </c>
      <c r="P100" s="2"/>
      <c r="Q100" s="2"/>
      <c r="R100" s="2"/>
      <c r="S100" s="2"/>
      <c r="T100" s="2" t="s">
        <v>108</v>
      </c>
      <c r="U100" s="15"/>
    </row>
    <row r="101">
      <c r="A101" s="6" t="str">
        <f>HYPERLINK("www.pajaritostp.com/","Pajarito")</f>
        <v>Pajarito</v>
      </c>
      <c r="B101" s="7" t="s">
        <v>453</v>
      </c>
      <c r="C101" s="2" t="s">
        <v>41</v>
      </c>
      <c r="D101" s="2">
        <v>3.0</v>
      </c>
      <c r="E101" s="2">
        <v>11.0</v>
      </c>
      <c r="F101" s="12">
        <v>10.0</v>
      </c>
      <c r="G101" s="2" t="s">
        <v>678</v>
      </c>
      <c r="H101" s="13" t="s">
        <v>458</v>
      </c>
      <c r="I101" s="14">
        <v>43132.0</v>
      </c>
      <c r="J101" s="17" t="str">
        <f t="shared" si="1"/>
        <v>$10 Game Day Food Vs. $456 Game Day Food • Super Bowl 2018</v>
      </c>
      <c r="K101" s="11" t="s">
        <v>30</v>
      </c>
      <c r="L101" s="11" t="str">
        <f>VLOOKUP(A101, Map!A:G,2)</f>
        <v>$15 Spaghetti Vs. $143 Spaghetti</v>
      </c>
      <c r="M101" s="11" t="s">
        <v>462</v>
      </c>
      <c r="N101" s="2" t="s">
        <v>684</v>
      </c>
      <c r="O101" s="12" t="s">
        <v>40</v>
      </c>
      <c r="P101" s="15"/>
      <c r="Q101" s="15"/>
      <c r="R101" s="15"/>
      <c r="S101" s="15"/>
      <c r="T101" s="15"/>
      <c r="U101" s="15"/>
    </row>
    <row r="102">
      <c r="A102" s="6" t="str">
        <f>HYPERLINK("https://www.revivalfriedchicken.com/","Revival")</f>
        <v>Revival</v>
      </c>
      <c r="B102" s="7" t="s">
        <v>453</v>
      </c>
      <c r="C102" s="2" t="s">
        <v>21</v>
      </c>
      <c r="D102" s="2">
        <v>3.0</v>
      </c>
      <c r="E102" s="2">
        <v>11.0</v>
      </c>
      <c r="F102" s="12">
        <v>29.0</v>
      </c>
      <c r="G102" s="2" t="s">
        <v>685</v>
      </c>
      <c r="H102" s="13" t="s">
        <v>458</v>
      </c>
      <c r="I102" s="14">
        <v>43132.0</v>
      </c>
      <c r="J102" s="17" t="str">
        <f t="shared" si="1"/>
        <v>$10 Game Day Food Vs. $456 Game Day Food • Super Bowl 2018</v>
      </c>
      <c r="K102" s="2" t="s">
        <v>37</v>
      </c>
      <c r="L102" s="11" t="str">
        <f>VLOOKUP(A102, Map!A:G,2)</f>
        <v/>
      </c>
      <c r="M102" s="11" t="s">
        <v>465</v>
      </c>
      <c r="N102" s="2" t="s">
        <v>677</v>
      </c>
      <c r="O102" s="12" t="s">
        <v>40</v>
      </c>
      <c r="P102" s="2"/>
      <c r="Q102" s="2"/>
      <c r="R102" s="2"/>
      <c r="S102" s="2"/>
      <c r="T102" s="2" t="s">
        <v>51</v>
      </c>
      <c r="U102" s="2" t="s">
        <v>466</v>
      </c>
    </row>
    <row r="103">
      <c r="A103" s="16" t="s">
        <v>467</v>
      </c>
      <c r="B103" s="7" t="s">
        <v>468</v>
      </c>
      <c r="C103" s="2" t="s">
        <v>33</v>
      </c>
      <c r="D103" s="2">
        <v>4.0</v>
      </c>
      <c r="E103" s="2">
        <v>1.0</v>
      </c>
      <c r="F103" s="12">
        <v>100.0</v>
      </c>
      <c r="G103" s="2" t="s">
        <v>50</v>
      </c>
      <c r="H103" s="13" t="s">
        <v>473</v>
      </c>
      <c r="I103" s="14">
        <v>43177.0</v>
      </c>
      <c r="J103" s="17" t="str">
        <f t="shared" si="1"/>
        <v>$2 Bacon Vs. $100 Bacon</v>
      </c>
      <c r="K103" s="11" t="s">
        <v>30</v>
      </c>
      <c r="L103" s="11" t="str">
        <f>VLOOKUP(A103, Map!A:G,2)</f>
        <v>#N/A</v>
      </c>
      <c r="M103" s="24" t="s">
        <v>472</v>
      </c>
      <c r="N103" s="2" t="s">
        <v>341</v>
      </c>
      <c r="O103" s="12" t="s">
        <v>40</v>
      </c>
      <c r="P103" s="15"/>
      <c r="Q103" s="15"/>
      <c r="R103" s="15"/>
      <c r="S103" s="15"/>
      <c r="T103" s="15"/>
      <c r="U103" s="15"/>
    </row>
    <row r="104">
      <c r="A104" s="6" t="str">
        <f>HYPERLINK("http://www.cheekysps.com/new/cheekys-home.html","Cheeky's")</f>
        <v>Cheeky's</v>
      </c>
      <c r="B104" s="7" t="s">
        <v>468</v>
      </c>
      <c r="C104" s="2" t="s">
        <v>41</v>
      </c>
      <c r="D104" s="2">
        <v>4.0</v>
      </c>
      <c r="E104" s="2">
        <v>1.0</v>
      </c>
      <c r="F104" s="12">
        <v>6.0</v>
      </c>
      <c r="G104" s="2" t="s">
        <v>697</v>
      </c>
      <c r="H104" s="13" t="s">
        <v>473</v>
      </c>
      <c r="I104" s="14">
        <v>43177.0</v>
      </c>
      <c r="J104" s="17" t="str">
        <f t="shared" si="1"/>
        <v>$2 Bacon Vs. $100 Bacon</v>
      </c>
      <c r="K104" s="11" t="s">
        <v>30</v>
      </c>
      <c r="L104" s="11" t="str">
        <f>VLOOKUP(A104, Map!A:G,2)</f>
        <v>$5 Pizza Vs. $135 Pizza</v>
      </c>
      <c r="M104" s="11" t="s">
        <v>478</v>
      </c>
      <c r="N104" s="2" t="s">
        <v>699</v>
      </c>
      <c r="O104" s="25" t="s">
        <v>40</v>
      </c>
      <c r="P104" s="2"/>
      <c r="Q104" s="2"/>
      <c r="R104" s="2"/>
      <c r="S104" s="2"/>
      <c r="T104" s="2" t="s">
        <v>108</v>
      </c>
      <c r="U104" s="2" t="s">
        <v>479</v>
      </c>
    </row>
    <row r="105">
      <c r="A105" s="6" t="str">
        <f>HYPERLINK("http://www.manuela-la.com/","Manuela")</f>
        <v>Manuela</v>
      </c>
      <c r="B105" s="7" t="s">
        <v>468</v>
      </c>
      <c r="C105" s="2" t="s">
        <v>21</v>
      </c>
      <c r="D105" s="2">
        <v>4.0</v>
      </c>
      <c r="E105" s="2">
        <v>1.0</v>
      </c>
      <c r="F105" s="12">
        <v>18.0</v>
      </c>
      <c r="G105" s="2" t="s">
        <v>703</v>
      </c>
      <c r="H105" s="13" t="s">
        <v>473</v>
      </c>
      <c r="I105" s="14">
        <v>43177.0</v>
      </c>
      <c r="J105" s="17" t="str">
        <f t="shared" si="1"/>
        <v>$2 Bacon Vs. $100 Bacon</v>
      </c>
      <c r="K105" s="11" t="s">
        <v>30</v>
      </c>
      <c r="L105" s="11" t="str">
        <f>VLOOKUP(A105, Map!A:G,2)</f>
        <v>$15 Spaghetti Vs. $143 Spaghetti</v>
      </c>
      <c r="M105" s="11" t="s">
        <v>482</v>
      </c>
      <c r="N105" s="2" t="s">
        <v>39</v>
      </c>
      <c r="O105" s="12" t="s">
        <v>40</v>
      </c>
      <c r="P105" s="2"/>
      <c r="Q105" s="2"/>
      <c r="R105" s="2"/>
      <c r="S105" s="2"/>
      <c r="T105" s="2" t="s">
        <v>51</v>
      </c>
      <c r="U105" s="15"/>
    </row>
    <row r="106">
      <c r="A106" s="2" t="s">
        <v>483</v>
      </c>
      <c r="B106" s="7" t="s">
        <v>484</v>
      </c>
      <c r="C106" s="2" t="s">
        <v>21</v>
      </c>
      <c r="D106" s="2">
        <v>4.0</v>
      </c>
      <c r="E106" s="2">
        <v>2.0</v>
      </c>
      <c r="F106" s="12">
        <v>7.0</v>
      </c>
      <c r="G106" s="2" t="s">
        <v>709</v>
      </c>
      <c r="H106" s="13" t="s">
        <v>488</v>
      </c>
      <c r="I106" s="14">
        <v>43184.0</v>
      </c>
      <c r="J106" s="17" t="str">
        <f t="shared" si="1"/>
        <v>$1 Bagel vs. $1,000 Bagel</v>
      </c>
      <c r="K106" s="11" t="s">
        <v>30</v>
      </c>
      <c r="L106" s="11" t="str">
        <f>VLOOKUP(A106, Map!A:G,2)</f>
        <v>#N/A</v>
      </c>
      <c r="M106" s="2" t="s">
        <v>486</v>
      </c>
      <c r="N106" s="2" t="s">
        <v>341</v>
      </c>
      <c r="O106" s="26" t="s">
        <v>40</v>
      </c>
      <c r="P106" s="2"/>
      <c r="Q106" s="2"/>
      <c r="R106" s="2"/>
      <c r="S106" s="2"/>
      <c r="T106" s="2" t="s">
        <v>51</v>
      </c>
      <c r="U106" s="15"/>
    </row>
    <row r="107">
      <c r="A107" s="6" t="str">
        <f>HYPERLINK("https://www.marriott.com/hotels/hotel-information/restaurant/nycsw-the-westin-new-york-at-times-square/","The Westin")</f>
        <v>The Westin</v>
      </c>
      <c r="B107" s="7" t="s">
        <v>484</v>
      </c>
      <c r="C107" s="2" t="s">
        <v>33</v>
      </c>
      <c r="D107" s="2">
        <v>4.0</v>
      </c>
      <c r="E107" s="2">
        <v>2.0</v>
      </c>
      <c r="F107" s="12">
        <v>1000.0</v>
      </c>
      <c r="G107" s="2" t="s">
        <v>714</v>
      </c>
      <c r="H107" s="13" t="s">
        <v>488</v>
      </c>
      <c r="I107" s="14">
        <v>43184.0</v>
      </c>
      <c r="J107" s="17" t="str">
        <f t="shared" si="1"/>
        <v>$1 Bagel vs. $1,000 Bagel</v>
      </c>
      <c r="K107" s="11" t="s">
        <v>30</v>
      </c>
      <c r="L107" s="11" t="str">
        <f>VLOOKUP(A107, Map!A:G,2)</f>
        <v/>
      </c>
      <c r="M107" s="11" t="s">
        <v>493</v>
      </c>
      <c r="N107" s="2" t="s">
        <v>341</v>
      </c>
      <c r="O107" s="26" t="s">
        <v>40</v>
      </c>
      <c r="P107" s="15"/>
      <c r="Q107" s="15"/>
      <c r="R107" s="15"/>
      <c r="S107" s="15"/>
      <c r="T107" s="15"/>
      <c r="U107" s="15"/>
    </row>
    <row r="108">
      <c r="A108" s="6" t="str">
        <f>HYPERLINK("https://www.utopiabagelsofnewyork.com/","Utopia Bagels")</f>
        <v>Utopia Bagels</v>
      </c>
      <c r="B108" s="7" t="s">
        <v>484</v>
      </c>
      <c r="C108" s="2" t="s">
        <v>41</v>
      </c>
      <c r="D108" s="2">
        <v>4.0</v>
      </c>
      <c r="E108" s="2">
        <v>2.0</v>
      </c>
      <c r="F108" s="12">
        <v>1.0</v>
      </c>
      <c r="G108" s="2" t="s">
        <v>718</v>
      </c>
      <c r="H108" s="13" t="s">
        <v>488</v>
      </c>
      <c r="I108" s="14">
        <v>43184.0</v>
      </c>
      <c r="J108" s="17" t="str">
        <f t="shared" si="1"/>
        <v>$1 Bagel vs. $1,000 Bagel</v>
      </c>
      <c r="K108" s="11" t="s">
        <v>30</v>
      </c>
      <c r="L108" s="11" t="str">
        <f>VLOOKUP(A108, Map!A:G,2)</f>
        <v/>
      </c>
      <c r="M108" s="11" t="s">
        <v>497</v>
      </c>
      <c r="N108" s="2" t="s">
        <v>341</v>
      </c>
      <c r="O108" s="12" t="s">
        <v>40</v>
      </c>
      <c r="P108" s="2"/>
      <c r="Q108" s="2"/>
      <c r="R108" s="2"/>
      <c r="S108" s="2"/>
      <c r="T108" s="2" t="s">
        <v>108</v>
      </c>
      <c r="U108" s="15"/>
    </row>
    <row r="109">
      <c r="A109" s="6" t="str">
        <f>HYPERLINK("http://www.abchome.com/dine/abcv/","abcV")</f>
        <v>abcV</v>
      </c>
      <c r="B109" s="7" t="s">
        <v>499</v>
      </c>
      <c r="C109" s="2" t="s">
        <v>33</v>
      </c>
      <c r="D109" s="2">
        <v>4.0</v>
      </c>
      <c r="E109" s="2">
        <v>3.0</v>
      </c>
      <c r="F109" s="12">
        <v>184.0</v>
      </c>
      <c r="G109" s="2" t="s">
        <v>722</v>
      </c>
      <c r="H109" s="13" t="s">
        <v>503</v>
      </c>
      <c r="I109" s="14">
        <v>43191.0</v>
      </c>
      <c r="J109" s="17" t="str">
        <f t="shared" si="1"/>
        <v>$10 Vegan vs. $135 Vegan</v>
      </c>
      <c r="K109" s="11" t="s">
        <v>30</v>
      </c>
      <c r="L109" s="11" t="str">
        <f>VLOOKUP(A109, Map!A:G,2)</f>
        <v>#N/A</v>
      </c>
      <c r="M109" s="11" t="s">
        <v>502</v>
      </c>
      <c r="N109" s="2" t="s">
        <v>341</v>
      </c>
      <c r="O109" s="26" t="s">
        <v>40</v>
      </c>
      <c r="P109" s="2"/>
      <c r="Q109" s="2"/>
      <c r="R109" s="2"/>
      <c r="S109" s="2"/>
      <c r="T109" s="2" t="s">
        <v>108</v>
      </c>
      <c r="U109" s="2" t="s">
        <v>505</v>
      </c>
    </row>
    <row r="110">
      <c r="A110" s="6" t="str">
        <f>HYPERLINK("https://www.avantgardennyc.com/","Avant Garden")</f>
        <v>Avant Garden</v>
      </c>
      <c r="B110" s="7" t="s">
        <v>499</v>
      </c>
      <c r="C110" s="2" t="s">
        <v>21</v>
      </c>
      <c r="D110" s="2">
        <v>4.0</v>
      </c>
      <c r="E110" s="2">
        <v>3.0</v>
      </c>
      <c r="F110" s="12">
        <v>64.0</v>
      </c>
      <c r="G110" s="2" t="s">
        <v>729</v>
      </c>
      <c r="H110" s="13" t="s">
        <v>503</v>
      </c>
      <c r="I110" s="14">
        <v>43191.0</v>
      </c>
      <c r="J110" s="17" t="str">
        <f t="shared" si="1"/>
        <v>$10 Vegan vs. $135 Vegan</v>
      </c>
      <c r="K110" s="11" t="s">
        <v>30</v>
      </c>
      <c r="L110" s="11" t="str">
        <f>VLOOKUP(A110, Map!A:G,2)</f>
        <v>#N/A</v>
      </c>
      <c r="M110" s="11" t="s">
        <v>510</v>
      </c>
      <c r="N110" s="2" t="s">
        <v>341</v>
      </c>
      <c r="O110" s="12" t="s">
        <v>40</v>
      </c>
      <c r="P110" s="15"/>
      <c r="Q110" s="15"/>
      <c r="R110" s="15"/>
      <c r="S110" s="15"/>
      <c r="T110" s="15"/>
      <c r="U110" s="2" t="s">
        <v>505</v>
      </c>
    </row>
    <row r="111">
      <c r="A111" s="6" t="str">
        <f>HYPERLINK("https://www.seasonedvegan.com/","Seasoned Vegan")</f>
        <v>Seasoned Vegan</v>
      </c>
      <c r="B111" s="7" t="s">
        <v>499</v>
      </c>
      <c r="C111" s="2" t="s">
        <v>41</v>
      </c>
      <c r="D111" s="2">
        <v>4.0</v>
      </c>
      <c r="E111" s="2">
        <v>3.0</v>
      </c>
      <c r="F111" s="12">
        <v>10.0</v>
      </c>
      <c r="G111" s="2" t="s">
        <v>733</v>
      </c>
      <c r="H111" s="13" t="s">
        <v>503</v>
      </c>
      <c r="I111" s="14">
        <v>43191.0</v>
      </c>
      <c r="J111" s="17" t="str">
        <f t="shared" si="1"/>
        <v>$10 Vegan vs. $135 Vegan</v>
      </c>
      <c r="K111" s="11" t="s">
        <v>30</v>
      </c>
      <c r="L111" s="11" t="str">
        <f>VLOOKUP(A111, Map!A:G,2)</f>
        <v/>
      </c>
      <c r="M111" s="11" t="s">
        <v>514</v>
      </c>
      <c r="N111" s="2" t="s">
        <v>341</v>
      </c>
      <c r="O111" s="12" t="s">
        <v>40</v>
      </c>
      <c r="P111" s="2"/>
      <c r="Q111" s="2"/>
      <c r="R111" s="2"/>
      <c r="S111" s="2"/>
      <c r="T111" s="2" t="s">
        <v>51</v>
      </c>
      <c r="U111" s="15"/>
    </row>
    <row r="112">
      <c r="A112" s="6" t="str">
        <f t="shared" ref="A112:A113" si="10">HYPERLINK("https://www.ahiassassins.com/","Ahi Assassins")</f>
        <v>Ahi Assassins</v>
      </c>
      <c r="B112" s="7" t="s">
        <v>515</v>
      </c>
      <c r="C112" s="2" t="s">
        <v>41</v>
      </c>
      <c r="D112" s="2">
        <v>4.0</v>
      </c>
      <c r="E112" s="2">
        <v>4.0</v>
      </c>
      <c r="F112" s="12">
        <v>9.0</v>
      </c>
      <c r="G112" s="2" t="s">
        <v>743</v>
      </c>
      <c r="H112" s="13" t="s">
        <v>519</v>
      </c>
      <c r="I112" s="14">
        <v>43198.0</v>
      </c>
      <c r="J112" s="17" t="str">
        <f t="shared" si="1"/>
        <v>$9 Fish Vs. $140 Fish</v>
      </c>
      <c r="K112" s="11" t="s">
        <v>30</v>
      </c>
      <c r="L112" s="11" t="str">
        <f>VLOOKUP(A112, Map!A:G,2)</f>
        <v>#N/A</v>
      </c>
      <c r="M112" s="11" t="s">
        <v>518</v>
      </c>
      <c r="N112" s="2" t="s">
        <v>750</v>
      </c>
      <c r="O112" s="12" t="s">
        <v>40</v>
      </c>
      <c r="P112" s="2"/>
      <c r="Q112" s="2"/>
      <c r="R112" s="2"/>
      <c r="S112" s="2"/>
      <c r="T112" s="2" t="s">
        <v>51</v>
      </c>
      <c r="U112" s="2" t="s">
        <v>751</v>
      </c>
    </row>
    <row r="113">
      <c r="A113" s="6" t="str">
        <f t="shared" si="10"/>
        <v>Ahi Assassins</v>
      </c>
      <c r="B113" s="7" t="s">
        <v>515</v>
      </c>
      <c r="C113" s="2" t="s">
        <v>41</v>
      </c>
      <c r="D113" s="2">
        <v>4.0</v>
      </c>
      <c r="E113" s="2">
        <v>4.0</v>
      </c>
      <c r="F113" s="12">
        <v>15.0</v>
      </c>
      <c r="G113" s="2" t="s">
        <v>752</v>
      </c>
      <c r="H113" s="13" t="s">
        <v>519</v>
      </c>
      <c r="I113" s="14">
        <v>43198.0</v>
      </c>
      <c r="J113" s="17" t="str">
        <f t="shared" si="1"/>
        <v>$9 Fish Vs. $140 Fish</v>
      </c>
      <c r="K113" s="11" t="s">
        <v>30</v>
      </c>
      <c r="L113" s="11" t="str">
        <f>VLOOKUP(A113, Map!A:G,2)</f>
        <v>#N/A</v>
      </c>
      <c r="M113" s="11" t="s">
        <v>518</v>
      </c>
      <c r="N113" s="2" t="s">
        <v>750</v>
      </c>
      <c r="O113" s="12" t="s">
        <v>40</v>
      </c>
      <c r="P113" s="2"/>
      <c r="Q113" s="2"/>
      <c r="R113" s="2"/>
      <c r="S113" s="2"/>
      <c r="T113" s="2" t="s">
        <v>51</v>
      </c>
      <c r="U113" s="15"/>
    </row>
    <row r="114">
      <c r="A114" s="6" t="str">
        <f>HYPERLINK("https://www.chefmavro.com/","Chef Mavro")</f>
        <v>Chef Mavro</v>
      </c>
      <c r="B114" s="7" t="s">
        <v>515</v>
      </c>
      <c r="C114" s="2" t="s">
        <v>33</v>
      </c>
      <c r="D114" s="2">
        <v>4.0</v>
      </c>
      <c r="E114" s="2">
        <v>4.0</v>
      </c>
      <c r="F114" s="12">
        <v>140.0</v>
      </c>
      <c r="G114" s="2" t="s">
        <v>754</v>
      </c>
      <c r="H114" s="13" t="s">
        <v>519</v>
      </c>
      <c r="I114" s="14">
        <v>43198.0</v>
      </c>
      <c r="J114" s="17" t="str">
        <f t="shared" si="1"/>
        <v>$9 Fish Vs. $140 Fish</v>
      </c>
      <c r="K114" s="11" t="s">
        <v>30</v>
      </c>
      <c r="L114" s="11" t="str">
        <f>VLOOKUP(A114, Map!A:G,2)</f>
        <v>$5 Pizza Vs. $135 Pizza</v>
      </c>
      <c r="M114" s="11" t="s">
        <v>525</v>
      </c>
      <c r="N114" s="2" t="s">
        <v>750</v>
      </c>
      <c r="O114" s="12" t="s">
        <v>40</v>
      </c>
      <c r="P114" s="2"/>
      <c r="Q114" s="2"/>
      <c r="R114" s="2"/>
      <c r="S114" s="2"/>
      <c r="T114" s="2" t="s">
        <v>51</v>
      </c>
      <c r="U114" s="15"/>
    </row>
    <row r="115">
      <c r="A115" s="6" t="str">
        <f t="shared" ref="A115:A116" si="11">HYPERLINK("http://mwrestaurant.com/","MW Restaurant")</f>
        <v>MW Restaurant</v>
      </c>
      <c r="B115" s="7" t="s">
        <v>515</v>
      </c>
      <c r="C115" s="2" t="s">
        <v>21</v>
      </c>
      <c r="D115" s="2">
        <v>4.0</v>
      </c>
      <c r="E115" s="2">
        <v>4.0</v>
      </c>
      <c r="F115" s="12">
        <v>12.0</v>
      </c>
      <c r="G115" s="2" t="s">
        <v>760</v>
      </c>
      <c r="H115" s="13" t="s">
        <v>519</v>
      </c>
      <c r="I115" s="14">
        <v>43198.0</v>
      </c>
      <c r="J115" s="17" t="str">
        <f t="shared" si="1"/>
        <v>$9 Fish Vs. $140 Fish</v>
      </c>
      <c r="K115" s="11" t="s">
        <v>30</v>
      </c>
      <c r="L115" s="11" t="str">
        <f>VLOOKUP(A115, Map!A:G,2)</f>
        <v>$15 Spaghetti Vs. $143 Spaghetti</v>
      </c>
      <c r="M115" s="11" t="s">
        <v>528</v>
      </c>
      <c r="N115" s="2" t="s">
        <v>750</v>
      </c>
      <c r="O115" s="12" t="s">
        <v>40</v>
      </c>
      <c r="P115" s="2"/>
      <c r="Q115" s="2"/>
      <c r="R115" s="2"/>
      <c r="S115" s="2"/>
      <c r="T115" s="2" t="s">
        <v>51</v>
      </c>
      <c r="U115" s="15"/>
    </row>
    <row r="116">
      <c r="A116" s="6" t="str">
        <f t="shared" si="11"/>
        <v>MW Restaurant</v>
      </c>
      <c r="B116" s="7" t="s">
        <v>515</v>
      </c>
      <c r="C116" s="2" t="s">
        <v>21</v>
      </c>
      <c r="D116" s="2">
        <v>4.0</v>
      </c>
      <c r="E116" s="2">
        <v>4.0</v>
      </c>
      <c r="F116" s="12">
        <v>38.0</v>
      </c>
      <c r="G116" s="2" t="s">
        <v>761</v>
      </c>
      <c r="H116" s="13" t="s">
        <v>519</v>
      </c>
      <c r="I116" s="14">
        <v>43198.0</v>
      </c>
      <c r="J116" s="17" t="str">
        <f t="shared" si="1"/>
        <v>$9 Fish Vs. $140 Fish</v>
      </c>
      <c r="K116" s="11" t="s">
        <v>30</v>
      </c>
      <c r="L116" s="11" t="str">
        <f>VLOOKUP(A116, Map!A:G,2)</f>
        <v>$15 Spaghetti Vs. $143 Spaghetti</v>
      </c>
      <c r="M116" s="11" t="s">
        <v>528</v>
      </c>
      <c r="N116" s="2" t="s">
        <v>750</v>
      </c>
      <c r="O116" s="12" t="s">
        <v>40</v>
      </c>
      <c r="P116" s="2"/>
      <c r="Q116" s="2"/>
      <c r="R116" s="2"/>
      <c r="S116" s="2"/>
      <c r="T116" s="2" t="s">
        <v>51</v>
      </c>
      <c r="U116" s="15"/>
    </row>
    <row r="117">
      <c r="A117" s="6" t="str">
        <f>HYPERLINK("http://www.underbellyhospitality.com/","CLOSED Underbelly")</f>
        <v>CLOSED Underbelly</v>
      </c>
      <c r="B117" s="7" t="s">
        <v>530</v>
      </c>
      <c r="C117" s="2" t="s">
        <v>21</v>
      </c>
      <c r="D117" s="2">
        <v>4.0</v>
      </c>
      <c r="E117" s="2">
        <v>5.0</v>
      </c>
      <c r="F117" s="12">
        <v>9.0</v>
      </c>
      <c r="G117" s="2" t="s">
        <v>768</v>
      </c>
      <c r="H117" s="13" t="s">
        <v>534</v>
      </c>
      <c r="I117" s="14">
        <v>43205.0</v>
      </c>
      <c r="J117" s="17" t="str">
        <f t="shared" si="1"/>
        <v>$5 Pie Vs. $250 Pie</v>
      </c>
      <c r="K117" s="11" t="s">
        <v>30</v>
      </c>
      <c r="L117" s="11" t="str">
        <f>VLOOKUP(A117, Map!A:G,2)</f>
        <v>$5 Pizza Vs. $135 Pizza</v>
      </c>
      <c r="M117" s="11" t="s">
        <v>533</v>
      </c>
      <c r="N117" s="2" t="s">
        <v>771</v>
      </c>
      <c r="O117" s="12" t="s">
        <v>40</v>
      </c>
      <c r="P117" s="2"/>
      <c r="Q117" s="2"/>
      <c r="R117" s="2"/>
      <c r="S117" s="2"/>
      <c r="T117" s="2" t="s">
        <v>108</v>
      </c>
      <c r="U117" s="15"/>
    </row>
    <row r="118">
      <c r="A118" s="6" t="str">
        <f>HYPERLINK("http://pienburger.com/","Pie 'n Burger")</f>
        <v>Pie 'n Burger</v>
      </c>
      <c r="B118" s="7" t="s">
        <v>530</v>
      </c>
      <c r="C118" s="2" t="s">
        <v>41</v>
      </c>
      <c r="D118" s="2">
        <v>4.0</v>
      </c>
      <c r="E118" s="2">
        <v>5.0</v>
      </c>
      <c r="F118" s="12">
        <v>4.5</v>
      </c>
      <c r="G118" s="2" t="s">
        <v>772</v>
      </c>
      <c r="H118" s="13" t="s">
        <v>534</v>
      </c>
      <c r="I118" s="14">
        <v>43205.0</v>
      </c>
      <c r="J118" s="17" t="str">
        <f t="shared" si="1"/>
        <v>$5 Pie Vs. $250 Pie</v>
      </c>
      <c r="K118" s="11" t="s">
        <v>30</v>
      </c>
      <c r="L118" s="11" t="str">
        <f>VLOOKUP(A118, Map!A:G,2)</f>
        <v>$15 Spaghetti Vs. $143 Spaghetti</v>
      </c>
      <c r="M118" s="11" t="s">
        <v>541</v>
      </c>
      <c r="N118" s="2" t="s">
        <v>773</v>
      </c>
      <c r="O118" s="12" t="s">
        <v>40</v>
      </c>
      <c r="P118" s="2"/>
      <c r="Q118" s="2"/>
      <c r="R118" s="2"/>
      <c r="S118" s="2"/>
      <c r="T118" s="2" t="s">
        <v>51</v>
      </c>
      <c r="U118" s="15"/>
    </row>
    <row r="119">
      <c r="A119" s="6" t="str">
        <f>HYPERLINK("https://3brothersbakery.com/","Three Brothers Bakery")</f>
        <v>Three Brothers Bakery</v>
      </c>
      <c r="B119" s="7" t="s">
        <v>530</v>
      </c>
      <c r="C119" s="2" t="s">
        <v>33</v>
      </c>
      <c r="D119" s="2">
        <v>4.0</v>
      </c>
      <c r="E119" s="2">
        <v>5.0</v>
      </c>
      <c r="F119" s="12">
        <v>250.0</v>
      </c>
      <c r="G119" s="2" t="s">
        <v>775</v>
      </c>
      <c r="H119" s="13" t="s">
        <v>534</v>
      </c>
      <c r="I119" s="14">
        <v>43205.0</v>
      </c>
      <c r="J119" s="17" t="str">
        <f t="shared" si="1"/>
        <v>$5 Pie Vs. $250 Pie</v>
      </c>
      <c r="K119" s="2" t="s">
        <v>37</v>
      </c>
      <c r="L119" s="11" t="str">
        <f>VLOOKUP(A119, Map!A:G,2)</f>
        <v/>
      </c>
      <c r="M119" s="11" t="s">
        <v>545</v>
      </c>
      <c r="N119" s="2" t="s">
        <v>771</v>
      </c>
      <c r="O119" s="12" t="s">
        <v>40</v>
      </c>
      <c r="P119" s="15"/>
      <c r="Q119" s="15"/>
      <c r="R119" s="15"/>
      <c r="S119" s="15"/>
      <c r="T119" s="15"/>
      <c r="U119" s="2" t="s">
        <v>546</v>
      </c>
    </row>
    <row r="120">
      <c r="A120" s="6" t="str">
        <f>HYPERLINK("http://www.districtonelv.com/","District One Kitchen &amp; Bar")</f>
        <v>District One Kitchen &amp; Bar</v>
      </c>
      <c r="B120" s="7" t="s">
        <v>547</v>
      </c>
      <c r="C120" s="2" t="s">
        <v>33</v>
      </c>
      <c r="D120" s="2">
        <v>4.0</v>
      </c>
      <c r="E120" s="2">
        <v>6.0</v>
      </c>
      <c r="F120" s="12">
        <v>67.94</v>
      </c>
      <c r="G120" s="2" t="s">
        <v>781</v>
      </c>
      <c r="H120" s="13" t="s">
        <v>551</v>
      </c>
      <c r="I120" s="14">
        <v>43212.0</v>
      </c>
      <c r="J120" s="17" t="str">
        <f t="shared" si="1"/>
        <v>$7 Pho Vs. $68 Pho</v>
      </c>
      <c r="K120" s="11" t="s">
        <v>30</v>
      </c>
      <c r="L120" s="11" t="str">
        <f>VLOOKUP(A120, Map!A:G,2)</f>
        <v>$5 Pizza Vs. $135 Pizza</v>
      </c>
      <c r="M120" s="11" t="s">
        <v>550</v>
      </c>
      <c r="N120" s="2" t="s">
        <v>76</v>
      </c>
      <c r="O120" s="12" t="s">
        <v>40</v>
      </c>
      <c r="P120" s="15"/>
      <c r="Q120" s="15"/>
      <c r="R120" s="15"/>
      <c r="S120" s="15"/>
      <c r="T120" s="15"/>
      <c r="U120" s="15"/>
    </row>
    <row r="121">
      <c r="A121" s="6" t="str">
        <f>HYPERLINK("http://www.phobinh.com/by-night","Pho Binh By Night")</f>
        <v>Pho Binh By Night</v>
      </c>
      <c r="B121" s="7" t="s">
        <v>547</v>
      </c>
      <c r="C121" s="2" t="s">
        <v>41</v>
      </c>
      <c r="D121" s="2">
        <v>4.0</v>
      </c>
      <c r="E121" s="2">
        <v>6.0</v>
      </c>
      <c r="F121" s="12">
        <v>6.75</v>
      </c>
      <c r="G121" s="2" t="s">
        <v>784</v>
      </c>
      <c r="H121" s="13" t="s">
        <v>551</v>
      </c>
      <c r="I121" s="14">
        <v>43212.0</v>
      </c>
      <c r="J121" s="17" t="str">
        <f t="shared" si="1"/>
        <v>$7 Pho Vs. $68 Pho</v>
      </c>
      <c r="K121" s="11" t="s">
        <v>30</v>
      </c>
      <c r="L121" s="11" t="str">
        <f>VLOOKUP(A121, Map!A:G,2)</f>
        <v>$15 Spaghetti Vs. $143 Spaghetti</v>
      </c>
      <c r="M121" s="11" t="s">
        <v>555</v>
      </c>
      <c r="N121" s="2" t="s">
        <v>771</v>
      </c>
      <c r="O121" s="12" t="s">
        <v>40</v>
      </c>
      <c r="P121" s="2"/>
      <c r="Q121" s="2"/>
      <c r="R121" s="2"/>
      <c r="S121" s="2"/>
      <c r="T121" s="2" t="s">
        <v>51</v>
      </c>
      <c r="U121" s="15"/>
    </row>
    <row r="122">
      <c r="A122" s="6" t="str">
        <f t="shared" ref="A122:A124" si="12">HYPERLINK("https://thepigandthelady.com/","The Pig and the Lady")</f>
        <v>The Pig and the Lady</v>
      </c>
      <c r="B122" s="7" t="s">
        <v>547</v>
      </c>
      <c r="C122" s="2" t="s">
        <v>21</v>
      </c>
      <c r="D122" s="2">
        <v>4.0</v>
      </c>
      <c r="E122" s="2">
        <v>6.0</v>
      </c>
      <c r="F122" s="12">
        <v>16.0</v>
      </c>
      <c r="G122" s="2" t="s">
        <v>785</v>
      </c>
      <c r="H122" s="13" t="s">
        <v>551</v>
      </c>
      <c r="I122" s="14">
        <v>43212.0</v>
      </c>
      <c r="J122" s="17" t="str">
        <f t="shared" si="1"/>
        <v>$7 Pho Vs. $68 Pho</v>
      </c>
      <c r="K122" s="11" t="s">
        <v>30</v>
      </c>
      <c r="L122" s="11" t="str">
        <f>VLOOKUP(A122, Map!A:G,2)</f>
        <v/>
      </c>
      <c r="M122" s="11" t="s">
        <v>559</v>
      </c>
      <c r="N122" s="2" t="s">
        <v>750</v>
      </c>
      <c r="O122" s="12" t="s">
        <v>40</v>
      </c>
      <c r="P122" s="2"/>
      <c r="Q122" s="2"/>
      <c r="R122" s="2"/>
      <c r="S122" s="2"/>
      <c r="T122" s="2" t="s">
        <v>108</v>
      </c>
      <c r="U122" s="15"/>
    </row>
    <row r="123">
      <c r="A123" s="6" t="str">
        <f t="shared" si="12"/>
        <v>The Pig and the Lady</v>
      </c>
      <c r="B123" s="7" t="s">
        <v>547</v>
      </c>
      <c r="C123" s="2" t="s">
        <v>21</v>
      </c>
      <c r="D123" s="2">
        <v>4.0</v>
      </c>
      <c r="E123" s="2">
        <v>6.0</v>
      </c>
      <c r="F123" s="12">
        <v>16.0</v>
      </c>
      <c r="G123" s="2" t="s">
        <v>791</v>
      </c>
      <c r="H123" s="13" t="s">
        <v>551</v>
      </c>
      <c r="I123" s="14">
        <v>43212.0</v>
      </c>
      <c r="J123" s="17" t="str">
        <f t="shared" si="1"/>
        <v>$7 Pho Vs. $68 Pho</v>
      </c>
      <c r="K123" s="11" t="s">
        <v>30</v>
      </c>
      <c r="L123" s="11" t="str">
        <f>VLOOKUP(A123, Map!A:G,2)</f>
        <v/>
      </c>
      <c r="M123" s="11" t="s">
        <v>559</v>
      </c>
      <c r="N123" s="2" t="s">
        <v>750</v>
      </c>
      <c r="O123" s="12" t="s">
        <v>40</v>
      </c>
      <c r="P123" s="2"/>
      <c r="Q123" s="2"/>
      <c r="R123" s="2"/>
      <c r="S123" s="2"/>
      <c r="T123" s="2" t="s">
        <v>108</v>
      </c>
      <c r="U123" s="15"/>
    </row>
    <row r="124">
      <c r="A124" s="6" t="str">
        <f t="shared" si="12"/>
        <v>The Pig and the Lady</v>
      </c>
      <c r="B124" s="7" t="s">
        <v>547</v>
      </c>
      <c r="C124" s="2" t="s">
        <v>21</v>
      </c>
      <c r="D124" s="2">
        <v>4.0</v>
      </c>
      <c r="E124" s="2">
        <v>6.0</v>
      </c>
      <c r="F124" s="12">
        <v>20.0</v>
      </c>
      <c r="G124" s="2" t="s">
        <v>792</v>
      </c>
      <c r="H124" s="13" t="s">
        <v>551</v>
      </c>
      <c r="I124" s="14">
        <v>43212.0</v>
      </c>
      <c r="J124" s="17" t="str">
        <f t="shared" si="1"/>
        <v>$7 Pho Vs. $68 Pho</v>
      </c>
      <c r="K124" s="11" t="s">
        <v>30</v>
      </c>
      <c r="L124" s="11" t="str">
        <f>VLOOKUP(A124, Map!A:G,2)</f>
        <v/>
      </c>
      <c r="M124" s="11" t="s">
        <v>559</v>
      </c>
      <c r="N124" s="2" t="s">
        <v>750</v>
      </c>
      <c r="O124" s="12" t="s">
        <v>40</v>
      </c>
      <c r="P124" s="2"/>
      <c r="Q124" s="2"/>
      <c r="R124" s="2"/>
      <c r="S124" s="2"/>
      <c r="T124" s="2" t="s">
        <v>108</v>
      </c>
      <c r="U124" s="15"/>
    </row>
    <row r="125">
      <c r="A125" s="6" t="str">
        <f>HYPERLINK("https://www.eatricebar.com/","CLOSED RiceBar")</f>
        <v>CLOSED RiceBar</v>
      </c>
      <c r="B125" s="7" t="s">
        <v>560</v>
      </c>
      <c r="C125" s="2" t="s">
        <v>41</v>
      </c>
      <c r="D125" s="2">
        <v>4.0</v>
      </c>
      <c r="E125" s="2">
        <v>7.0</v>
      </c>
      <c r="F125" s="12">
        <v>11.25</v>
      </c>
      <c r="G125" s="2" t="s">
        <v>793</v>
      </c>
      <c r="H125" s="13" t="s">
        <v>565</v>
      </c>
      <c r="I125" s="14">
        <v>43219.0</v>
      </c>
      <c r="J125" s="17" t="str">
        <f t="shared" si="1"/>
        <v>$12 Pork Vs. $715 Pork</v>
      </c>
      <c r="K125" s="11" t="s">
        <v>30</v>
      </c>
      <c r="L125" s="11" t="str">
        <f>VLOOKUP(A125, Map!A:G,2)</f>
        <v>$5 Pizza Vs. $135 Pizza</v>
      </c>
      <c r="M125" s="11" t="s">
        <v>564</v>
      </c>
      <c r="N125" s="2" t="s">
        <v>39</v>
      </c>
      <c r="O125" s="12" t="s">
        <v>40</v>
      </c>
      <c r="P125" s="2"/>
      <c r="Q125" s="2"/>
      <c r="R125" s="2"/>
      <c r="S125" s="2"/>
      <c r="T125" s="2" t="s">
        <v>51</v>
      </c>
      <c r="U125" s="15"/>
    </row>
    <row r="126">
      <c r="A126" s="6" t="str">
        <f>HYPERLINK("http://www.jeepneynyc.com/","Jeepney")</f>
        <v>Jeepney</v>
      </c>
      <c r="B126" s="7" t="s">
        <v>560</v>
      </c>
      <c r="C126" s="2" t="s">
        <v>33</v>
      </c>
      <c r="D126" s="2">
        <v>4.0</v>
      </c>
      <c r="E126" s="2">
        <v>7.0</v>
      </c>
      <c r="F126" s="12">
        <v>715.0</v>
      </c>
      <c r="G126" s="2" t="s">
        <v>796</v>
      </c>
      <c r="H126" s="13" t="s">
        <v>565</v>
      </c>
      <c r="I126" s="14">
        <v>43219.0</v>
      </c>
      <c r="J126" s="17" t="str">
        <f t="shared" si="1"/>
        <v>$12 Pork Vs. $715 Pork</v>
      </c>
      <c r="K126" s="11" t="s">
        <v>30</v>
      </c>
      <c r="L126" s="11" t="str">
        <f>VLOOKUP(A126, Map!A:G,2)</f>
        <v>$5 Pizza Vs. $135 Pizza</v>
      </c>
      <c r="M126" s="11" t="s">
        <v>568</v>
      </c>
      <c r="N126" s="2" t="s">
        <v>341</v>
      </c>
      <c r="O126" s="12" t="s">
        <v>40</v>
      </c>
      <c r="P126" s="2"/>
      <c r="Q126" s="2"/>
      <c r="R126" s="2"/>
      <c r="S126" s="2"/>
      <c r="T126" s="2" t="s">
        <v>51</v>
      </c>
      <c r="U126" s="2" t="s">
        <v>570</v>
      </c>
    </row>
    <row r="127">
      <c r="A127" s="6" t="str">
        <f>HYPERLINK("http://www.lasa-la.com/","Lasa")</f>
        <v>Lasa</v>
      </c>
      <c r="B127" s="7" t="s">
        <v>560</v>
      </c>
      <c r="C127" s="2" t="s">
        <v>21</v>
      </c>
      <c r="D127" s="2">
        <v>4.0</v>
      </c>
      <c r="E127" s="2">
        <v>7.0</v>
      </c>
      <c r="F127" s="12">
        <v>21.0</v>
      </c>
      <c r="G127" s="2" t="s">
        <v>801</v>
      </c>
      <c r="H127" s="13" t="s">
        <v>565</v>
      </c>
      <c r="I127" s="14">
        <v>43219.0</v>
      </c>
      <c r="J127" s="17" t="str">
        <f t="shared" si="1"/>
        <v>$12 Pork Vs. $715 Pork</v>
      </c>
      <c r="K127" s="11" t="s">
        <v>30</v>
      </c>
      <c r="L127" s="11" t="str">
        <f>VLOOKUP(A127, Map!A:G,2)</f>
        <v>$5 Pizza Vs. $135 Pizza</v>
      </c>
      <c r="M127" s="11" t="s">
        <v>573</v>
      </c>
      <c r="N127" s="2" t="s">
        <v>39</v>
      </c>
      <c r="O127" s="12" t="s">
        <v>40</v>
      </c>
      <c r="P127" s="2"/>
      <c r="Q127" s="2"/>
      <c r="R127" s="2"/>
      <c r="S127" s="2"/>
      <c r="T127" s="2" t="s">
        <v>51</v>
      </c>
      <c r="U127" s="15"/>
    </row>
    <row r="128">
      <c r="A128" s="6" t="str">
        <f t="shared" ref="A128:A129" si="13">HYPERLINK("https://www.hereslookingatyoula.com/","CLOSED Here's Looking at You")</f>
        <v>CLOSED Here's Looking at You</v>
      </c>
      <c r="B128" s="7" t="s">
        <v>574</v>
      </c>
      <c r="C128" s="2" t="s">
        <v>21</v>
      </c>
      <c r="D128" s="2">
        <v>4.0</v>
      </c>
      <c r="E128" s="2">
        <v>8.0</v>
      </c>
      <c r="F128" s="12">
        <v>10.0</v>
      </c>
      <c r="G128" s="2" t="s">
        <v>805</v>
      </c>
      <c r="H128" s="13" t="s">
        <v>578</v>
      </c>
      <c r="I128" s="14">
        <v>43226.0</v>
      </c>
      <c r="J128" s="17" t="str">
        <f t="shared" si="1"/>
        <v>$8 Toast Vs. $20 Toast</v>
      </c>
      <c r="K128" s="11" t="s">
        <v>30</v>
      </c>
      <c r="L128" s="11" t="str">
        <f>VLOOKUP(A128, Map!A:G,2)</f>
        <v>$5 Pizza Vs. $135 Pizza</v>
      </c>
      <c r="M128" s="11" t="s">
        <v>577</v>
      </c>
      <c r="N128" s="2" t="s">
        <v>39</v>
      </c>
      <c r="O128" s="12" t="s">
        <v>40</v>
      </c>
      <c r="P128" s="2"/>
      <c r="Q128" s="2"/>
      <c r="R128" s="2"/>
      <c r="S128" s="2"/>
      <c r="T128" s="2" t="s">
        <v>51</v>
      </c>
      <c r="U128" s="15"/>
    </row>
    <row r="129">
      <c r="A129" s="6" t="str">
        <f t="shared" si="13"/>
        <v>CLOSED Here's Looking at You</v>
      </c>
      <c r="B129" s="7" t="s">
        <v>574</v>
      </c>
      <c r="C129" s="2" t="s">
        <v>21</v>
      </c>
      <c r="D129" s="2">
        <v>4.0</v>
      </c>
      <c r="E129" s="2">
        <v>8.0</v>
      </c>
      <c r="F129" s="12">
        <v>16.0</v>
      </c>
      <c r="G129" s="2" t="s">
        <v>807</v>
      </c>
      <c r="H129" s="13" t="s">
        <v>578</v>
      </c>
      <c r="I129" s="14">
        <v>43226.0</v>
      </c>
      <c r="J129" s="17" t="str">
        <f t="shared" si="1"/>
        <v>$8 Toast Vs. $20 Toast</v>
      </c>
      <c r="K129" s="11" t="s">
        <v>30</v>
      </c>
      <c r="L129" s="11" t="str">
        <f>VLOOKUP(A129, Map!A:G,2)</f>
        <v>$5 Pizza Vs. $135 Pizza</v>
      </c>
      <c r="M129" s="11" t="s">
        <v>577</v>
      </c>
      <c r="N129" s="2" t="s">
        <v>39</v>
      </c>
      <c r="O129" s="12" t="s">
        <v>40</v>
      </c>
      <c r="P129" s="15"/>
      <c r="Q129" s="15"/>
      <c r="R129" s="15"/>
      <c r="S129" s="15"/>
      <c r="T129" s="15"/>
      <c r="U129" s="15"/>
    </row>
    <row r="130">
      <c r="A130" s="6" t="str">
        <f>HYPERLINK("https://www.petitcrenn.com/","Petit Crenn")</f>
        <v>Petit Crenn</v>
      </c>
      <c r="B130" s="7" t="s">
        <v>574</v>
      </c>
      <c r="C130" s="2" t="s">
        <v>33</v>
      </c>
      <c r="D130" s="2">
        <v>4.0</v>
      </c>
      <c r="E130" s="2">
        <v>8.0</v>
      </c>
      <c r="F130" s="12">
        <v>20.0</v>
      </c>
      <c r="G130" s="2" t="s">
        <v>813</v>
      </c>
      <c r="H130" s="13" t="s">
        <v>578</v>
      </c>
      <c r="I130" s="14">
        <v>43226.0</v>
      </c>
      <c r="J130" s="17" t="str">
        <f t="shared" si="1"/>
        <v>$8 Toast Vs. $20 Toast</v>
      </c>
      <c r="K130" s="11" t="s">
        <v>30</v>
      </c>
      <c r="L130" s="11" t="str">
        <f>VLOOKUP(A130, Map!A:G,2)</f>
        <v>$15 Spaghetti Vs. $143 Spaghetti</v>
      </c>
      <c r="M130" s="11" t="s">
        <v>582</v>
      </c>
      <c r="N130" s="2" t="s">
        <v>814</v>
      </c>
      <c r="O130" s="12" t="s">
        <v>40</v>
      </c>
      <c r="P130" s="2"/>
      <c r="Q130" s="2"/>
      <c r="R130" s="2"/>
      <c r="S130" s="2"/>
      <c r="T130" s="2" t="s">
        <v>51</v>
      </c>
      <c r="U130" s="15"/>
    </row>
    <row r="131">
      <c r="A131" s="6" t="str">
        <f>HYPERLINK("https://sqirlla.com/","Sqirl")</f>
        <v>Sqirl</v>
      </c>
      <c r="B131" s="7" t="s">
        <v>574</v>
      </c>
      <c r="C131" s="2" t="s">
        <v>41</v>
      </c>
      <c r="D131" s="2">
        <v>4.0</v>
      </c>
      <c r="E131" s="2">
        <v>8.0</v>
      </c>
      <c r="F131" s="12">
        <v>8.0</v>
      </c>
      <c r="G131" s="2" t="s">
        <v>818</v>
      </c>
      <c r="H131" s="13" t="s">
        <v>578</v>
      </c>
      <c r="I131" s="14">
        <v>43226.0</v>
      </c>
      <c r="J131" s="17" t="str">
        <f t="shared" si="1"/>
        <v>$8 Toast Vs. $20 Toast</v>
      </c>
      <c r="K131" s="11" t="s">
        <v>30</v>
      </c>
      <c r="L131" s="11" t="str">
        <f>VLOOKUP(A131, Map!A:G,2)</f>
        <v/>
      </c>
      <c r="M131" s="11" t="s">
        <v>585</v>
      </c>
      <c r="N131" s="2" t="s">
        <v>39</v>
      </c>
      <c r="O131" s="12" t="s">
        <v>40</v>
      </c>
      <c r="P131" s="2"/>
      <c r="Q131" s="2"/>
      <c r="R131" s="2"/>
      <c r="S131" s="2"/>
      <c r="T131" s="2" t="s">
        <v>51</v>
      </c>
      <c r="U131" s="15"/>
    </row>
    <row r="132">
      <c r="A132" s="6" t="str">
        <f t="shared" ref="A132:A133" si="14">HYPERLINK("https://barzotto.com/","Barzotto")</f>
        <v>Barzotto</v>
      </c>
      <c r="B132" s="7" t="s">
        <v>587</v>
      </c>
      <c r="C132" s="2" t="s">
        <v>41</v>
      </c>
      <c r="D132" s="2">
        <v>4.0</v>
      </c>
      <c r="E132" s="2">
        <v>9.0</v>
      </c>
      <c r="F132" s="12">
        <v>15.0</v>
      </c>
      <c r="G132" s="2" t="s">
        <v>820</v>
      </c>
      <c r="H132" s="13" t="s">
        <v>591</v>
      </c>
      <c r="I132" s="14">
        <v>43233.0</v>
      </c>
      <c r="J132" s="17" t="str">
        <f t="shared" si="1"/>
        <v>$15 Spaghetti Vs. $143 Spaghetti</v>
      </c>
      <c r="K132" s="11" t="s">
        <v>30</v>
      </c>
      <c r="L132" s="11" t="str">
        <f>VLOOKUP(A132, Map!A:G,2)</f>
        <v>#N/A</v>
      </c>
      <c r="M132" s="11" t="s">
        <v>590</v>
      </c>
      <c r="N132" s="2" t="s">
        <v>814</v>
      </c>
      <c r="O132" s="12" t="s">
        <v>40</v>
      </c>
      <c r="P132" s="2"/>
      <c r="Q132" s="2"/>
      <c r="R132" s="2"/>
      <c r="S132" s="2"/>
      <c r="T132" s="2" t="s">
        <v>158</v>
      </c>
      <c r="U132" s="15"/>
    </row>
    <row r="133">
      <c r="A133" s="6" t="str">
        <f t="shared" si="14"/>
        <v>Barzotto</v>
      </c>
      <c r="B133" s="7" t="s">
        <v>587</v>
      </c>
      <c r="C133" s="2" t="s">
        <v>41</v>
      </c>
      <c r="D133" s="2">
        <v>4.0</v>
      </c>
      <c r="E133" s="2">
        <v>9.0</v>
      </c>
      <c r="F133" s="12">
        <v>18.0</v>
      </c>
      <c r="G133" s="2" t="s">
        <v>826</v>
      </c>
      <c r="H133" s="13" t="s">
        <v>591</v>
      </c>
      <c r="I133" s="14">
        <v>43233.0</v>
      </c>
      <c r="J133" s="17" t="str">
        <f t="shared" si="1"/>
        <v>$15 Spaghetti Vs. $143 Spaghetti</v>
      </c>
      <c r="K133" s="11" t="s">
        <v>30</v>
      </c>
      <c r="L133" s="11" t="str">
        <f>VLOOKUP(A133, Map!A:G,2)</f>
        <v>#N/A</v>
      </c>
      <c r="M133" s="11" t="s">
        <v>590</v>
      </c>
      <c r="N133" s="2" t="s">
        <v>814</v>
      </c>
      <c r="O133" s="12" t="s">
        <v>40</v>
      </c>
      <c r="P133" s="15"/>
      <c r="Q133" s="15"/>
      <c r="R133" s="15"/>
      <c r="S133" s="15"/>
      <c r="T133" s="15"/>
      <c r="U133" s="15"/>
    </row>
    <row r="134">
      <c r="A134" s="6" t="str">
        <f>HYPERLINK("http://www.centopastabar.com/","Cento Pasta Bar")</f>
        <v>Cento Pasta Bar</v>
      </c>
      <c r="B134" s="7" t="s">
        <v>587</v>
      </c>
      <c r="C134" s="2" t="s">
        <v>21</v>
      </c>
      <c r="D134" s="2">
        <v>4.0</v>
      </c>
      <c r="E134" s="2">
        <v>9.0</v>
      </c>
      <c r="F134" s="12">
        <v>18.0</v>
      </c>
      <c r="G134" s="2" t="s">
        <v>827</v>
      </c>
      <c r="H134" s="13" t="s">
        <v>591</v>
      </c>
      <c r="I134" s="14">
        <v>43233.0</v>
      </c>
      <c r="J134" s="17" t="str">
        <f t="shared" si="1"/>
        <v>$15 Spaghetti Vs. $143 Spaghetti</v>
      </c>
      <c r="K134" s="11" t="s">
        <v>30</v>
      </c>
      <c r="L134" s="11" t="str">
        <f>VLOOKUP(A134, Map!A:G,2)</f>
        <v>$5 Pizza Vs. $135 Pizza</v>
      </c>
      <c r="M134" s="11" t="s">
        <v>595</v>
      </c>
      <c r="N134" s="2" t="s">
        <v>39</v>
      </c>
      <c r="O134" s="12" t="s">
        <v>40</v>
      </c>
      <c r="P134" s="15"/>
      <c r="Q134" s="15"/>
      <c r="R134" s="15"/>
      <c r="S134" s="15"/>
      <c r="T134" s="15"/>
      <c r="U134" s="15"/>
    </row>
    <row r="135">
      <c r="A135" s="6" t="str">
        <f>HYPERLINK("https://republiquela.com/","Republique Restaurant")</f>
        <v>Republique Restaurant</v>
      </c>
      <c r="B135" s="7" t="s">
        <v>587</v>
      </c>
      <c r="C135" s="2" t="s">
        <v>33</v>
      </c>
      <c r="D135" s="2">
        <v>4.0</v>
      </c>
      <c r="E135" s="2">
        <v>9.0</v>
      </c>
      <c r="F135" s="12">
        <v>143.0</v>
      </c>
      <c r="G135" s="2" t="s">
        <v>829</v>
      </c>
      <c r="H135" s="13" t="s">
        <v>591</v>
      </c>
      <c r="I135" s="14">
        <v>43233.0</v>
      </c>
      <c r="J135" s="17" t="str">
        <f t="shared" si="1"/>
        <v>$15 Spaghetti Vs. $143 Spaghetti</v>
      </c>
      <c r="K135" s="11" t="s">
        <v>30</v>
      </c>
      <c r="L135" s="11" t="str">
        <f>VLOOKUP(A135, Map!A:G,2)</f>
        <v/>
      </c>
      <c r="M135" s="11" t="s">
        <v>598</v>
      </c>
      <c r="N135" s="2" t="s">
        <v>39</v>
      </c>
      <c r="O135" s="12" t="s">
        <v>40</v>
      </c>
      <c r="P135" s="15"/>
      <c r="Q135" s="15"/>
      <c r="R135" s="15"/>
      <c r="S135" s="15"/>
      <c r="T135" s="15"/>
      <c r="U135" s="2" t="s">
        <v>599</v>
      </c>
    </row>
    <row r="136">
      <c r="A136" s="6" t="str">
        <f>HYPERLINK("https://www.lov.com/","Lov")</f>
        <v>Lov</v>
      </c>
      <c r="B136" s="7" t="s">
        <v>600</v>
      </c>
      <c r="C136" s="2" t="s">
        <v>21</v>
      </c>
      <c r="D136" s="2">
        <v>4.0</v>
      </c>
      <c r="E136" s="2">
        <v>10.0</v>
      </c>
      <c r="F136" s="12">
        <v>8.0</v>
      </c>
      <c r="G136" s="2" t="s">
        <v>831</v>
      </c>
      <c r="H136" s="13" t="s">
        <v>604</v>
      </c>
      <c r="I136" s="14">
        <v>43240.0</v>
      </c>
      <c r="J136" s="17" t="str">
        <f t="shared" si="1"/>
        <v>$3 Fries Vs. $100 Fries</v>
      </c>
      <c r="K136" s="11" t="s">
        <v>30</v>
      </c>
      <c r="L136" s="11" t="str">
        <f>VLOOKUP(A136, Map!A:G,2)</f>
        <v>$15 Spaghetti Vs. $143 Spaghetti</v>
      </c>
      <c r="M136" s="11" t="s">
        <v>603</v>
      </c>
      <c r="N136" s="2" t="s">
        <v>836</v>
      </c>
      <c r="O136" s="12" t="s">
        <v>837</v>
      </c>
      <c r="P136" s="2"/>
      <c r="Q136" s="2"/>
      <c r="R136" s="2"/>
      <c r="S136" s="2"/>
      <c r="T136" s="2" t="s">
        <v>108</v>
      </c>
      <c r="U136" s="2" t="s">
        <v>606</v>
      </c>
    </row>
    <row r="137">
      <c r="A137" s="6" t="str">
        <f>HYPERLINK("http://www.poutineville.com/en/home.html","Poutineville")</f>
        <v>Poutineville</v>
      </c>
      <c r="B137" s="7" t="s">
        <v>600</v>
      </c>
      <c r="C137" s="2" t="s">
        <v>33</v>
      </c>
      <c r="D137" s="2">
        <v>4.0</v>
      </c>
      <c r="E137" s="2">
        <v>10.0</v>
      </c>
      <c r="F137" s="12">
        <v>100.0</v>
      </c>
      <c r="G137" s="2" t="s">
        <v>838</v>
      </c>
      <c r="H137" s="13" t="s">
        <v>604</v>
      </c>
      <c r="I137" s="14">
        <v>43240.0</v>
      </c>
      <c r="J137" s="17" t="str">
        <f t="shared" si="1"/>
        <v>$3 Fries Vs. $100 Fries</v>
      </c>
      <c r="K137" s="2" t="s">
        <v>37</v>
      </c>
      <c r="L137" s="11" t="str">
        <f>VLOOKUP(A137, Map!A:G,2)</f>
        <v/>
      </c>
      <c r="M137" s="11" t="s">
        <v>609</v>
      </c>
      <c r="N137" s="2" t="s">
        <v>836</v>
      </c>
      <c r="O137" s="12" t="s">
        <v>837</v>
      </c>
      <c r="P137" s="15"/>
      <c r="Q137" s="15"/>
      <c r="R137" s="15"/>
      <c r="S137" s="15"/>
      <c r="T137" s="15"/>
      <c r="U137" s="2" t="s">
        <v>606</v>
      </c>
    </row>
    <row r="138">
      <c r="A138" s="6" t="str">
        <f>HYPERLINK("https://eattopround.com/","Top Round Roast Beef")</f>
        <v>Top Round Roast Beef</v>
      </c>
      <c r="B138" s="7" t="s">
        <v>600</v>
      </c>
      <c r="C138" s="2" t="s">
        <v>41</v>
      </c>
      <c r="D138" s="2">
        <v>4.0</v>
      </c>
      <c r="E138" s="2">
        <v>10.0</v>
      </c>
      <c r="F138" s="12">
        <v>2.99</v>
      </c>
      <c r="G138" s="2" t="s">
        <v>844</v>
      </c>
      <c r="H138" s="13" t="s">
        <v>604</v>
      </c>
      <c r="I138" s="14">
        <v>43240.0</v>
      </c>
      <c r="J138" s="17" t="str">
        <f t="shared" si="1"/>
        <v>$3 Fries Vs. $100 Fries</v>
      </c>
      <c r="K138" s="11" t="s">
        <v>30</v>
      </c>
      <c r="L138" s="11" t="str">
        <f>VLOOKUP(A138, Map!A:G,2)</f>
        <v/>
      </c>
      <c r="M138" s="11" t="s">
        <v>613</v>
      </c>
      <c r="N138" s="2" t="s">
        <v>39</v>
      </c>
      <c r="O138" s="12" t="s">
        <v>40</v>
      </c>
      <c r="P138" s="2"/>
      <c r="Q138" s="2"/>
      <c r="R138" s="2"/>
      <c r="S138" s="2"/>
      <c r="T138" s="2" t="s">
        <v>51</v>
      </c>
      <c r="U138" s="15"/>
    </row>
    <row r="139">
      <c r="A139" s="6" t="str">
        <f>HYPERLINK("https://barclayprime.com/","Barclay Prime")</f>
        <v>Barclay Prime</v>
      </c>
      <c r="B139" s="7" t="s">
        <v>614</v>
      </c>
      <c r="C139" s="2" t="s">
        <v>33</v>
      </c>
      <c r="D139" s="2">
        <v>4.0</v>
      </c>
      <c r="E139" s="2">
        <v>11.0</v>
      </c>
      <c r="F139" s="12">
        <v>120.0</v>
      </c>
      <c r="G139" s="2" t="s">
        <v>850</v>
      </c>
      <c r="H139" s="13" t="s">
        <v>619</v>
      </c>
      <c r="I139" s="14">
        <v>43247.0</v>
      </c>
      <c r="J139" s="17" t="str">
        <f t="shared" si="1"/>
        <v>$10 Cheesesteak Vs. $120 Cheesesteak</v>
      </c>
      <c r="K139" s="11" t="s">
        <v>30</v>
      </c>
      <c r="L139" s="11" t="str">
        <f>VLOOKUP(A139, Map!A:G,2)</f>
        <v>#N/A</v>
      </c>
      <c r="M139" s="11" t="s">
        <v>618</v>
      </c>
      <c r="N139" s="2" t="s">
        <v>852</v>
      </c>
      <c r="O139" s="12" t="s">
        <v>40</v>
      </c>
      <c r="P139" s="2"/>
      <c r="Q139" s="2"/>
      <c r="R139" s="2"/>
      <c r="S139" s="2"/>
      <c r="T139" s="2" t="s">
        <v>51</v>
      </c>
      <c r="U139" s="15"/>
    </row>
    <row r="140">
      <c r="A140" s="6" t="str">
        <f>HYPERLINK("https://www.ginandpop.com/","CLOSED Gin &amp; Pop")</f>
        <v>CLOSED Gin &amp; Pop</v>
      </c>
      <c r="B140" s="7" t="s">
        <v>614</v>
      </c>
      <c r="C140" s="2" t="s">
        <v>21</v>
      </c>
      <c r="D140" s="2">
        <v>4.0</v>
      </c>
      <c r="E140" s="2">
        <v>11.0</v>
      </c>
      <c r="F140" s="12">
        <v>14.0</v>
      </c>
      <c r="G140" s="2" t="s">
        <v>853</v>
      </c>
      <c r="H140" s="13" t="s">
        <v>619</v>
      </c>
      <c r="I140" s="14">
        <v>43247.0</v>
      </c>
      <c r="J140" s="17" t="str">
        <f t="shared" si="1"/>
        <v>$10 Cheesesteak Vs. $120 Cheesesteak</v>
      </c>
      <c r="K140" s="11" t="s">
        <v>30</v>
      </c>
      <c r="L140" s="11" t="str">
        <f>VLOOKUP(A140, Map!A:G,2)</f>
        <v>$5 Pizza Vs. $135 Pizza</v>
      </c>
      <c r="M140" s="11" t="s">
        <v>624</v>
      </c>
      <c r="N140" s="2" t="s">
        <v>852</v>
      </c>
      <c r="O140" s="12" t="s">
        <v>40</v>
      </c>
      <c r="P140" s="2"/>
      <c r="Q140" s="2"/>
      <c r="R140" s="2"/>
      <c r="S140" s="2"/>
      <c r="T140" s="2" t="s">
        <v>108</v>
      </c>
      <c r="U140" s="15"/>
    </row>
    <row r="141">
      <c r="A141" s="6" t="str">
        <f>HYPERLINK("http://www.johnsroastpork.com/","John's Roast Pork")</f>
        <v>John's Roast Pork</v>
      </c>
      <c r="B141" s="7" t="s">
        <v>614</v>
      </c>
      <c r="C141" s="2" t="s">
        <v>41</v>
      </c>
      <c r="D141" s="2">
        <v>4.0</v>
      </c>
      <c r="E141" s="2">
        <v>11.0</v>
      </c>
      <c r="F141" s="12">
        <v>9.25</v>
      </c>
      <c r="G141" s="2" t="s">
        <v>859</v>
      </c>
      <c r="H141" s="13" t="s">
        <v>619</v>
      </c>
      <c r="I141" s="14">
        <v>43247.0</v>
      </c>
      <c r="J141" s="17" t="str">
        <f t="shared" si="1"/>
        <v>$10 Cheesesteak Vs. $120 Cheesesteak</v>
      </c>
      <c r="K141" s="11" t="s">
        <v>30</v>
      </c>
      <c r="L141" s="11" t="str">
        <f>VLOOKUP(A141, Map!A:G,2)</f>
        <v>$5 Pizza Vs. $135 Pizza</v>
      </c>
      <c r="M141" s="11" t="s">
        <v>628</v>
      </c>
      <c r="N141" s="2" t="s">
        <v>852</v>
      </c>
      <c r="O141" s="12" t="s">
        <v>40</v>
      </c>
      <c r="P141" s="15"/>
      <c r="Q141" s="15"/>
      <c r="R141" s="15"/>
      <c r="S141" s="15"/>
      <c r="T141" s="15"/>
      <c r="U141" s="15"/>
    </row>
    <row r="142">
      <c r="A142" s="6" t="str">
        <f>HYPERLINK("http://www.corner28flushing.com/","Corner 28")</f>
        <v>Corner 28</v>
      </c>
      <c r="B142" s="7" t="s">
        <v>629</v>
      </c>
      <c r="C142" s="2" t="s">
        <v>41</v>
      </c>
      <c r="D142" s="2">
        <v>4.0</v>
      </c>
      <c r="E142" s="2">
        <v>12.0</v>
      </c>
      <c r="F142" s="12">
        <v>1.25</v>
      </c>
      <c r="G142" s="2" t="s">
        <v>863</v>
      </c>
      <c r="H142" s="13" t="s">
        <v>634</v>
      </c>
      <c r="I142" s="14">
        <v>43254.0</v>
      </c>
      <c r="J142" s="17" t="str">
        <f t="shared" si="1"/>
        <v>$2 Peking Duck Vs. $340 Peking Duck</v>
      </c>
      <c r="K142" s="11" t="s">
        <v>30</v>
      </c>
      <c r="L142" s="11" t="str">
        <f>VLOOKUP(A142, Map!A:G,2)</f>
        <v>$5 Pizza Vs. $135 Pizza</v>
      </c>
      <c r="M142" s="11" t="s">
        <v>633</v>
      </c>
      <c r="N142" s="2" t="s">
        <v>341</v>
      </c>
      <c r="O142" s="12" t="s">
        <v>40</v>
      </c>
      <c r="P142" s="2"/>
      <c r="Q142" s="2"/>
      <c r="R142" s="2"/>
      <c r="S142" s="2"/>
      <c r="T142" s="2" t="s">
        <v>158</v>
      </c>
      <c r="U142" s="15"/>
    </row>
    <row r="143">
      <c r="A143" s="6" t="str">
        <f>HYPERLINK("https://www.decoynyc.com/","Decoy")</f>
        <v>Decoy</v>
      </c>
      <c r="B143" s="7" t="s">
        <v>629</v>
      </c>
      <c r="C143" s="2" t="s">
        <v>21</v>
      </c>
      <c r="D143" s="2">
        <v>4.0</v>
      </c>
      <c r="E143" s="2">
        <v>12.0</v>
      </c>
      <c r="F143" s="12">
        <v>85.0</v>
      </c>
      <c r="G143" s="2" t="s">
        <v>870</v>
      </c>
      <c r="H143" s="13" t="s">
        <v>634</v>
      </c>
      <c r="I143" s="14">
        <v>43254.0</v>
      </c>
      <c r="J143" s="17" t="str">
        <f t="shared" si="1"/>
        <v>$2 Peking Duck Vs. $340 Peking Duck</v>
      </c>
      <c r="K143" s="11" t="s">
        <v>30</v>
      </c>
      <c r="L143" s="11" t="str">
        <f>VLOOKUP(A143, Map!A:G,2)</f>
        <v>$5 Pizza Vs. $135 Pizza</v>
      </c>
      <c r="M143" s="11" t="s">
        <v>638</v>
      </c>
      <c r="N143" s="2" t="s">
        <v>341</v>
      </c>
      <c r="O143" s="12" t="s">
        <v>40</v>
      </c>
      <c r="P143" s="15"/>
      <c r="Q143" s="15"/>
      <c r="R143" s="15"/>
      <c r="S143" s="15"/>
      <c r="T143" s="15"/>
      <c r="U143" s="2" t="s">
        <v>871</v>
      </c>
    </row>
    <row r="144">
      <c r="A144" s="6" t="str">
        <f>HYPERLINK("http://www.hwayuannyc.com/","Hwa Yuan Szechuan")</f>
        <v>Hwa Yuan Szechuan</v>
      </c>
      <c r="B144" s="7" t="s">
        <v>629</v>
      </c>
      <c r="C144" s="2" t="s">
        <v>33</v>
      </c>
      <c r="D144" s="2">
        <v>4.0</v>
      </c>
      <c r="E144" s="2">
        <v>12.0</v>
      </c>
      <c r="F144" s="12">
        <v>340.0</v>
      </c>
      <c r="G144" s="2" t="s">
        <v>873</v>
      </c>
      <c r="H144" s="13" t="s">
        <v>634</v>
      </c>
      <c r="I144" s="14">
        <v>43254.0</v>
      </c>
      <c r="J144" s="17" t="str">
        <f t="shared" si="1"/>
        <v>$2 Peking Duck Vs. $340 Peking Duck</v>
      </c>
      <c r="K144" s="11" t="s">
        <v>30</v>
      </c>
      <c r="L144" s="11" t="str">
        <f>VLOOKUP(A144, Map!A:G,2)</f>
        <v>$5 Pizza Vs. $135 Pizza</v>
      </c>
      <c r="M144" s="11" t="s">
        <v>642</v>
      </c>
      <c r="N144" s="2" t="s">
        <v>341</v>
      </c>
      <c r="O144" s="12" t="s">
        <v>40</v>
      </c>
      <c r="P144" s="2"/>
      <c r="Q144" s="2"/>
      <c r="R144" s="2"/>
      <c r="S144" s="2"/>
      <c r="T144" s="2" t="s">
        <v>51</v>
      </c>
      <c r="U144" s="2" t="s">
        <v>643</v>
      </c>
    </row>
    <row r="145">
      <c r="A145" s="6" t="str">
        <f>HYPERLINK("https://thelittleonenyc.business.site/","Little One")</f>
        <v>Little One</v>
      </c>
      <c r="B145" s="7" t="s">
        <v>629</v>
      </c>
      <c r="C145" s="2" t="s">
        <v>875</v>
      </c>
      <c r="D145" s="2">
        <v>4.0</v>
      </c>
      <c r="E145" s="2">
        <v>12.0</v>
      </c>
      <c r="F145" s="12">
        <v>7.0</v>
      </c>
      <c r="G145" s="2" t="s">
        <v>876</v>
      </c>
      <c r="H145" s="13" t="s">
        <v>634</v>
      </c>
      <c r="I145" s="14">
        <v>43254.0</v>
      </c>
      <c r="J145" s="17" t="str">
        <f t="shared" si="1"/>
        <v>$2 Peking Duck Vs. $340 Peking Duck</v>
      </c>
      <c r="K145" s="11" t="s">
        <v>30</v>
      </c>
      <c r="L145" s="11" t="str">
        <f>VLOOKUP(A145, Map!A:G,2)</f>
        <v>$15 Spaghetti Vs. $143 Spaghetti</v>
      </c>
      <c r="M145" s="11" t="s">
        <v>648</v>
      </c>
      <c r="N145" s="2" t="s">
        <v>341</v>
      </c>
      <c r="O145" s="12" t="s">
        <v>40</v>
      </c>
      <c r="P145" s="15"/>
      <c r="Q145" s="15"/>
      <c r="R145" s="15"/>
      <c r="S145" s="15"/>
      <c r="T145" s="15"/>
      <c r="U145" s="15"/>
    </row>
    <row r="146">
      <c r="A146" s="6" t="str">
        <f>HYPERLINK("https://aplrestaurant.com/","APL")</f>
        <v>APL</v>
      </c>
      <c r="B146" s="7" t="s">
        <v>649</v>
      </c>
      <c r="C146" s="2" t="s">
        <v>33</v>
      </c>
      <c r="D146" s="2">
        <v>5.0</v>
      </c>
      <c r="E146" s="2">
        <v>1.0</v>
      </c>
      <c r="F146" s="12">
        <v>180.0</v>
      </c>
      <c r="G146" s="2" t="s">
        <v>881</v>
      </c>
      <c r="H146" s="13" t="s">
        <v>653</v>
      </c>
      <c r="I146" s="14">
        <v>43352.0</v>
      </c>
      <c r="J146" s="17" t="str">
        <f t="shared" si="1"/>
        <v>$29 Vs. $180 Family-Style Meats</v>
      </c>
      <c r="K146" s="11" t="s">
        <v>30</v>
      </c>
      <c r="L146" s="11" t="str">
        <f>VLOOKUP(A146, Map!A:G,2)</f>
        <v>#N/A</v>
      </c>
      <c r="M146" s="11" t="s">
        <v>885</v>
      </c>
      <c r="N146" s="2" t="s">
        <v>39</v>
      </c>
      <c r="O146" s="25" t="s">
        <v>40</v>
      </c>
      <c r="P146" s="2"/>
      <c r="Q146" s="2"/>
      <c r="R146" s="2"/>
      <c r="S146" s="2"/>
      <c r="T146" s="2" t="s">
        <v>51</v>
      </c>
      <c r="U146" s="2" t="s">
        <v>886</v>
      </c>
    </row>
    <row r="147">
      <c r="A147" s="6" t="str">
        <f>HYPERLINK("http://freedmansla.com/","Freedman's")</f>
        <v>Freedman's</v>
      </c>
      <c r="B147" s="7" t="s">
        <v>649</v>
      </c>
      <c r="C147" s="2" t="s">
        <v>21</v>
      </c>
      <c r="D147" s="2">
        <v>5.0</v>
      </c>
      <c r="E147" s="2">
        <v>1.0</v>
      </c>
      <c r="F147" s="12">
        <v>105.0</v>
      </c>
      <c r="G147" s="2" t="s">
        <v>888</v>
      </c>
      <c r="H147" s="13" t="s">
        <v>653</v>
      </c>
      <c r="I147" s="14">
        <v>43352.0</v>
      </c>
      <c r="J147" s="17" t="str">
        <f t="shared" si="1"/>
        <v>$29 Vs. $180 Family-Style Meats</v>
      </c>
      <c r="K147" s="11" t="s">
        <v>30</v>
      </c>
      <c r="L147" s="11" t="str">
        <f>VLOOKUP(A147, Map!A:G,2)</f>
        <v>$5 Pizza Vs. $135 Pizza</v>
      </c>
      <c r="M147" s="11" t="s">
        <v>652</v>
      </c>
      <c r="N147" s="2" t="s">
        <v>39</v>
      </c>
      <c r="O147" s="25" t="s">
        <v>40</v>
      </c>
      <c r="P147" s="2"/>
      <c r="Q147" s="2"/>
      <c r="R147" s="2"/>
      <c r="S147" s="2"/>
      <c r="T147" s="2" t="s">
        <v>108</v>
      </c>
      <c r="U147" s="2" t="s">
        <v>655</v>
      </c>
    </row>
    <row r="148">
      <c r="A148" s="6" t="str">
        <f>HYPERLINK("https://www.littlefattyla.com/","Little Fatty")</f>
        <v>Little Fatty</v>
      </c>
      <c r="B148" s="7" t="s">
        <v>649</v>
      </c>
      <c r="C148" s="2" t="s">
        <v>41</v>
      </c>
      <c r="D148" s="2">
        <v>5.0</v>
      </c>
      <c r="E148" s="2">
        <v>1.0</v>
      </c>
      <c r="F148" s="12">
        <v>29.0</v>
      </c>
      <c r="G148" s="2" t="s">
        <v>893</v>
      </c>
      <c r="H148" s="13" t="s">
        <v>653</v>
      </c>
      <c r="I148" s="14">
        <v>43352.0</v>
      </c>
      <c r="J148" s="17" t="str">
        <f t="shared" si="1"/>
        <v>$29 Vs. $180 Family-Style Meats</v>
      </c>
      <c r="K148" s="11" t="s">
        <v>30</v>
      </c>
      <c r="L148" s="11" t="str">
        <f>VLOOKUP(A148, Map!A:G,2)</f>
        <v>$5 Pizza Vs. $135 Pizza</v>
      </c>
      <c r="M148" s="11" t="s">
        <v>660</v>
      </c>
      <c r="N148" s="2" t="s">
        <v>39</v>
      </c>
      <c r="O148" s="25" t="s">
        <v>40</v>
      </c>
      <c r="P148" s="2"/>
      <c r="Q148" s="2"/>
      <c r="R148" s="2"/>
      <c r="S148" s="2"/>
      <c r="T148" s="2" t="s">
        <v>51</v>
      </c>
      <c r="U148" s="2" t="s">
        <v>661</v>
      </c>
    </row>
    <row r="149">
      <c r="A149" s="6" t="str">
        <f>HYPERLINK("http://fayda.com/","Fay Da Bakery")</f>
        <v>Fay Da Bakery</v>
      </c>
      <c r="B149" s="7" t="s">
        <v>662</v>
      </c>
      <c r="C149" s="2" t="s">
        <v>41</v>
      </c>
      <c r="D149" s="2">
        <v>5.0</v>
      </c>
      <c r="E149" s="2">
        <v>2.0</v>
      </c>
      <c r="F149" s="12">
        <v>2.25</v>
      </c>
      <c r="G149" s="2" t="s">
        <v>896</v>
      </c>
      <c r="H149" s="13" t="s">
        <v>666</v>
      </c>
      <c r="I149" s="14">
        <v>43359.0</v>
      </c>
      <c r="J149" s="17" t="str">
        <f t="shared" si="1"/>
        <v>$2 Curry Vs. $75 Curry</v>
      </c>
      <c r="K149" s="2" t="s">
        <v>37</v>
      </c>
      <c r="L149" s="11" t="str">
        <f>VLOOKUP(A149, Map!A:G,2)</f>
        <v>$5 Pizza Vs. $135 Pizza</v>
      </c>
      <c r="M149" s="11" t="s">
        <v>665</v>
      </c>
      <c r="N149" s="2" t="s">
        <v>341</v>
      </c>
      <c r="O149" s="25" t="s">
        <v>40</v>
      </c>
      <c r="P149" s="2"/>
      <c r="Q149" s="2"/>
      <c r="R149" s="2"/>
      <c r="S149" s="2"/>
      <c r="T149" s="2" t="s">
        <v>51</v>
      </c>
      <c r="U149" s="15"/>
    </row>
    <row r="150">
      <c r="A150" s="6" t="str">
        <f>HYPERLINK("http://junoonnyc.com/","Junoon")</f>
        <v>Junoon</v>
      </c>
      <c r="B150" s="7" t="s">
        <v>662</v>
      </c>
      <c r="C150" s="2" t="s">
        <v>33</v>
      </c>
      <c r="D150" s="2">
        <v>5.0</v>
      </c>
      <c r="E150" s="2">
        <v>2.0</v>
      </c>
      <c r="F150" s="12">
        <v>75.0</v>
      </c>
      <c r="G150" s="2" t="s">
        <v>902</v>
      </c>
      <c r="H150" s="13" t="s">
        <v>666</v>
      </c>
      <c r="I150" s="14">
        <v>43359.0</v>
      </c>
      <c r="J150" s="17" t="str">
        <f t="shared" si="1"/>
        <v>$2 Curry Vs. $75 Curry</v>
      </c>
      <c r="K150" s="11" t="s">
        <v>30</v>
      </c>
      <c r="L150" s="11" t="str">
        <f>VLOOKUP(A150, Map!A:G,2)</f>
        <v>$5 Pizza Vs. $135 Pizza</v>
      </c>
      <c r="M150" s="11" t="s">
        <v>673</v>
      </c>
      <c r="N150" s="2" t="s">
        <v>341</v>
      </c>
      <c r="O150" s="25" t="s">
        <v>40</v>
      </c>
      <c r="P150" s="2"/>
      <c r="Q150" s="2"/>
      <c r="R150" s="2"/>
      <c r="S150" s="2"/>
      <c r="T150" s="2" t="s">
        <v>51</v>
      </c>
      <c r="U150" s="15"/>
    </row>
    <row r="151">
      <c r="A151" s="6" t="str">
        <f t="shared" ref="A151:A152" si="15">HYPERLINK("http://lautnyc.com/","Laut")</f>
        <v>Laut</v>
      </c>
      <c r="B151" s="7" t="s">
        <v>662</v>
      </c>
      <c r="C151" s="2" t="s">
        <v>21</v>
      </c>
      <c r="D151" s="2">
        <v>5.0</v>
      </c>
      <c r="E151" s="2">
        <v>2.0</v>
      </c>
      <c r="F151" s="12">
        <v>8.0</v>
      </c>
      <c r="G151" s="2" t="s">
        <v>906</v>
      </c>
      <c r="H151" s="13" t="s">
        <v>666</v>
      </c>
      <c r="I151" s="14">
        <v>43359.0</v>
      </c>
      <c r="J151" s="17" t="str">
        <f t="shared" si="1"/>
        <v>$2 Curry Vs. $75 Curry</v>
      </c>
      <c r="K151" s="11" t="s">
        <v>30</v>
      </c>
      <c r="L151" s="11" t="str">
        <f>VLOOKUP(A151, Map!A:G,2)</f>
        <v>$5 Pizza Vs. $135 Pizza</v>
      </c>
      <c r="M151" s="11" t="s">
        <v>676</v>
      </c>
      <c r="N151" s="2" t="s">
        <v>341</v>
      </c>
      <c r="O151" s="25" t="s">
        <v>40</v>
      </c>
      <c r="P151" s="2"/>
      <c r="Q151" s="2"/>
      <c r="R151" s="2"/>
      <c r="S151" s="2"/>
      <c r="T151" s="2" t="s">
        <v>108</v>
      </c>
      <c r="U151" s="15"/>
    </row>
    <row r="152">
      <c r="A152" s="6" t="str">
        <f t="shared" si="15"/>
        <v>Laut</v>
      </c>
      <c r="B152" s="7" t="s">
        <v>662</v>
      </c>
      <c r="C152" s="2" t="s">
        <v>21</v>
      </c>
      <c r="D152" s="2">
        <v>5.0</v>
      </c>
      <c r="E152" s="2">
        <v>2.0</v>
      </c>
      <c r="F152" s="12">
        <v>15.0</v>
      </c>
      <c r="G152" s="2" t="s">
        <v>911</v>
      </c>
      <c r="H152" s="13" t="s">
        <v>666</v>
      </c>
      <c r="I152" s="14">
        <v>43359.0</v>
      </c>
      <c r="J152" s="17" t="str">
        <f t="shared" si="1"/>
        <v>$2 Curry Vs. $75 Curry</v>
      </c>
      <c r="K152" s="11" t="s">
        <v>30</v>
      </c>
      <c r="L152" s="11" t="str">
        <f>VLOOKUP(A152, Map!A:G,2)</f>
        <v>$5 Pizza Vs. $135 Pizza</v>
      </c>
      <c r="M152" s="11" t="s">
        <v>676</v>
      </c>
      <c r="N152" s="2" t="s">
        <v>341</v>
      </c>
      <c r="O152" s="25" t="s">
        <v>40</v>
      </c>
      <c r="P152" s="2"/>
      <c r="Q152" s="2"/>
      <c r="R152" s="2"/>
      <c r="S152" s="2"/>
      <c r="T152" s="2" t="s">
        <v>108</v>
      </c>
      <c r="U152" s="15"/>
    </row>
    <row r="153">
      <c r="A153" s="6" t="str">
        <f>HYPERLINK("http://www.antolpo.com/","Antolpo")</f>
        <v>Antolpo</v>
      </c>
      <c r="B153" s="7" t="s">
        <v>679</v>
      </c>
      <c r="C153" s="2" t="s">
        <v>33</v>
      </c>
      <c r="D153" s="2">
        <v>5.0</v>
      </c>
      <c r="E153" s="2">
        <v>3.0</v>
      </c>
      <c r="F153" s="12">
        <v>90.0</v>
      </c>
      <c r="G153" s="2" t="s">
        <v>913</v>
      </c>
      <c r="H153" s="13" t="s">
        <v>683</v>
      </c>
      <c r="I153" s="14">
        <v>43366.0</v>
      </c>
      <c r="J153" s="17" t="str">
        <f t="shared" si="1"/>
        <v>$1 Cookie Vs. $90 Cookie</v>
      </c>
      <c r="K153" s="11" t="s">
        <v>30</v>
      </c>
      <c r="L153" s="11" t="str">
        <f>VLOOKUP(A153, Map!A:G,2)</f>
        <v>#N/A</v>
      </c>
      <c r="M153" s="11" t="s">
        <v>914</v>
      </c>
      <c r="N153" s="2" t="s">
        <v>621</v>
      </c>
      <c r="O153" s="25" t="s">
        <v>621</v>
      </c>
      <c r="P153" s="2"/>
      <c r="Q153" s="2"/>
      <c r="R153" s="2"/>
      <c r="S153" s="2"/>
      <c r="T153" s="2" t="s">
        <v>669</v>
      </c>
      <c r="U153" s="15"/>
    </row>
    <row r="154">
      <c r="A154" s="6" t="str">
        <f>HYPERLINK("https://www.levainbakery.com/","Levain Bakery")</f>
        <v>Levain Bakery</v>
      </c>
      <c r="B154" s="7" t="s">
        <v>679</v>
      </c>
      <c r="C154" s="2" t="s">
        <v>21</v>
      </c>
      <c r="D154" s="2">
        <v>5.0</v>
      </c>
      <c r="E154" s="2">
        <v>3.0</v>
      </c>
      <c r="F154" s="12">
        <v>4.0</v>
      </c>
      <c r="G154" s="2" t="s">
        <v>919</v>
      </c>
      <c r="H154" s="13" t="s">
        <v>683</v>
      </c>
      <c r="I154" s="14">
        <v>43366.0</v>
      </c>
      <c r="J154" s="17" t="str">
        <f t="shared" si="1"/>
        <v>$1 Cookie Vs. $90 Cookie</v>
      </c>
      <c r="K154" s="2" t="s">
        <v>37</v>
      </c>
      <c r="L154" s="11" t="str">
        <f>VLOOKUP(A154, Map!A:G,2)</f>
        <v>$5 Pizza Vs. $135 Pizza</v>
      </c>
      <c r="M154" s="11" t="s">
        <v>682</v>
      </c>
      <c r="N154" s="2" t="s">
        <v>341</v>
      </c>
      <c r="O154" s="25" t="s">
        <v>40</v>
      </c>
      <c r="P154" s="15"/>
      <c r="Q154" s="15"/>
      <c r="R154" s="15"/>
      <c r="S154" s="15"/>
      <c r="T154" s="15"/>
      <c r="U154" s="15"/>
    </row>
    <row r="155">
      <c r="A155" s="6" t="str">
        <f>HYPERLINK("https://mahzedahrbakery.com/#!/","Mah-Ze-Dahr Bakery")</f>
        <v>Mah-Ze-Dahr Bakery</v>
      </c>
      <c r="B155" s="7" t="s">
        <v>679</v>
      </c>
      <c r="C155" s="2" t="s">
        <v>41</v>
      </c>
      <c r="D155" s="2">
        <v>5.0</v>
      </c>
      <c r="E155" s="2">
        <v>3.0</v>
      </c>
      <c r="F155" s="12">
        <v>1.0</v>
      </c>
      <c r="G155" s="2" t="s">
        <v>925</v>
      </c>
      <c r="H155" s="13" t="s">
        <v>683</v>
      </c>
      <c r="I155" s="14">
        <v>43366.0</v>
      </c>
      <c r="J155" s="17" t="str">
        <f t="shared" si="1"/>
        <v>$1 Cookie Vs. $90 Cookie</v>
      </c>
      <c r="K155" s="11" t="s">
        <v>30</v>
      </c>
      <c r="L155" s="11" t="str">
        <f>VLOOKUP(A155, Map!A:G,2)</f>
        <v>$15 Spaghetti Vs. $143 Spaghetti</v>
      </c>
      <c r="M155" s="11" t="s">
        <v>688</v>
      </c>
      <c r="N155" s="2" t="s">
        <v>341</v>
      </c>
      <c r="O155" s="25" t="s">
        <v>40</v>
      </c>
      <c r="P155" s="2"/>
      <c r="Q155" s="2"/>
      <c r="R155" s="2"/>
      <c r="S155" s="2"/>
      <c r="T155" s="2" t="s">
        <v>51</v>
      </c>
      <c r="U155" s="15"/>
    </row>
    <row r="156">
      <c r="A156" s="6" t="str">
        <f>HYPERLINK("http://www.kura-corpo.co.jp/","Kura Sushi")</f>
        <v>Kura Sushi</v>
      </c>
      <c r="B156" s="7" t="s">
        <v>689</v>
      </c>
      <c r="C156" s="2" t="s">
        <v>41</v>
      </c>
      <c r="D156" s="2">
        <v>5.0</v>
      </c>
      <c r="E156" s="2">
        <v>4.0</v>
      </c>
      <c r="F156" s="12">
        <v>1.0</v>
      </c>
      <c r="G156" s="2" t="s">
        <v>926</v>
      </c>
      <c r="H156" s="13" t="s">
        <v>693</v>
      </c>
      <c r="I156" s="14">
        <v>43373.0</v>
      </c>
      <c r="J156" s="17" t="str">
        <f t="shared" si="1"/>
        <v>$1 Sushi Vs. $133 Sushi • Japan</v>
      </c>
      <c r="K156" s="11" t="s">
        <v>30</v>
      </c>
      <c r="L156" s="11" t="str">
        <f>VLOOKUP(A156, Map!A:G,2)</f>
        <v>$5 Pizza Vs. $135 Pizza</v>
      </c>
      <c r="M156" s="11" t="s">
        <v>692</v>
      </c>
      <c r="N156" s="2" t="s">
        <v>620</v>
      </c>
      <c r="O156" s="25" t="s">
        <v>621</v>
      </c>
      <c r="P156" s="2"/>
      <c r="Q156" s="2"/>
      <c r="R156" s="2"/>
      <c r="S156" s="2"/>
      <c r="T156" s="2" t="s">
        <v>51</v>
      </c>
      <c r="U156" s="2" t="s">
        <v>694</v>
      </c>
    </row>
    <row r="157">
      <c r="A157" s="6" t="str">
        <f>HYPERLINK("http://www.kyubey.jp/en","Kyubey")</f>
        <v>Kyubey</v>
      </c>
      <c r="B157" s="7" t="s">
        <v>689</v>
      </c>
      <c r="C157" s="2" t="s">
        <v>33</v>
      </c>
      <c r="D157" s="2">
        <v>5.0</v>
      </c>
      <c r="E157" s="2">
        <v>4.0</v>
      </c>
      <c r="F157" s="12">
        <v>133.0</v>
      </c>
      <c r="G157" s="2" t="s">
        <v>932</v>
      </c>
      <c r="H157" s="13" t="s">
        <v>693</v>
      </c>
      <c r="I157" s="14">
        <v>43373.0</v>
      </c>
      <c r="J157" s="17" t="str">
        <f t="shared" si="1"/>
        <v>$1 Sushi Vs. $133 Sushi • Japan</v>
      </c>
      <c r="K157" s="11" t="s">
        <v>30</v>
      </c>
      <c r="L157" s="11" t="str">
        <f>VLOOKUP(A157, Map!A:G,2)</f>
        <v>$5 Pizza Vs. $135 Pizza</v>
      </c>
      <c r="M157" s="11" t="s">
        <v>698</v>
      </c>
      <c r="N157" s="2" t="s">
        <v>620</v>
      </c>
      <c r="O157" s="12" t="s">
        <v>621</v>
      </c>
      <c r="P157" s="2"/>
      <c r="Q157" s="2"/>
      <c r="R157" s="2"/>
      <c r="S157" s="2"/>
      <c r="T157" s="2" t="s">
        <v>669</v>
      </c>
      <c r="U157" s="15"/>
    </row>
    <row r="158">
      <c r="A158" s="6" t="str">
        <f>HYPERLINK("http://www.sushi-shun.jp/","Sushi Dokoro Shun")</f>
        <v>Sushi Dokoro Shun</v>
      </c>
      <c r="B158" s="7" t="s">
        <v>689</v>
      </c>
      <c r="C158" s="2" t="s">
        <v>21</v>
      </c>
      <c r="D158" s="2">
        <v>5.0</v>
      </c>
      <c r="E158" s="2">
        <v>4.0</v>
      </c>
      <c r="F158" s="12">
        <v>44.0</v>
      </c>
      <c r="G158" s="2" t="s">
        <v>935</v>
      </c>
      <c r="H158" s="13" t="s">
        <v>693</v>
      </c>
      <c r="I158" s="14">
        <v>43373.0</v>
      </c>
      <c r="J158" s="17" t="str">
        <f t="shared" si="1"/>
        <v>$1 Sushi Vs. $133 Sushi • Japan</v>
      </c>
      <c r="K158" s="11" t="s">
        <v>30</v>
      </c>
      <c r="L158" s="11" t="str">
        <f>VLOOKUP(A158, Map!A:G,2)</f>
        <v/>
      </c>
      <c r="M158" s="11" t="s">
        <v>702</v>
      </c>
      <c r="N158" s="2" t="s">
        <v>620</v>
      </c>
      <c r="O158" s="25" t="s">
        <v>621</v>
      </c>
      <c r="P158" s="15"/>
      <c r="Q158" s="15"/>
      <c r="R158" s="15"/>
      <c r="S158" s="15"/>
      <c r="T158" s="15"/>
      <c r="U158" s="15"/>
    </row>
    <row r="159">
      <c r="A159" s="6" t="str">
        <f>HYPERLINK("http://www.akuafarm.com/kagayaki/index.html","Aqua Farm Chichibu")</f>
        <v>Aqua Farm Chichibu</v>
      </c>
      <c r="B159" s="7" t="s">
        <v>704</v>
      </c>
      <c r="C159" s="2" t="s">
        <v>33</v>
      </c>
      <c r="D159" s="2">
        <v>5.0</v>
      </c>
      <c r="E159" s="2">
        <v>5.0</v>
      </c>
      <c r="F159" s="12">
        <v>89.0</v>
      </c>
      <c r="G159" s="2" t="s">
        <v>939</v>
      </c>
      <c r="H159" s="13" t="s">
        <v>708</v>
      </c>
      <c r="I159" s="14">
        <v>43380.0</v>
      </c>
      <c r="J159" s="17" t="str">
        <f t="shared" si="1"/>
        <v>$1 Eggs Vs. $89 Eggs • Japan</v>
      </c>
      <c r="K159" s="11" t="s">
        <v>30</v>
      </c>
      <c r="L159" s="11" t="str">
        <f>VLOOKUP(A159, Map!A:G,2)</f>
        <v>#N/A</v>
      </c>
      <c r="M159" s="11" t="s">
        <v>707</v>
      </c>
      <c r="N159" s="2" t="s">
        <v>944</v>
      </c>
      <c r="O159" s="12" t="s">
        <v>621</v>
      </c>
      <c r="P159" s="15"/>
      <c r="Q159" s="15"/>
      <c r="R159" s="15"/>
      <c r="S159" s="15"/>
      <c r="T159" s="15"/>
      <c r="U159" s="2" t="s">
        <v>710</v>
      </c>
    </row>
    <row r="160">
      <c r="A160" s="6" t="str">
        <f>HYPERLINK("https://www.create-restaurants.co.jp/shop/index.php?controller=FrontCrShop&amp;action=shop_show&amp;id=1106","Maccha House Kiyomizu-Dera")</f>
        <v>Maccha House Kiyomizu-Dera</v>
      </c>
      <c r="B160" s="7" t="s">
        <v>704</v>
      </c>
      <c r="C160" s="2" t="s">
        <v>875</v>
      </c>
      <c r="D160" s="2">
        <v>5.0</v>
      </c>
      <c r="E160" s="2">
        <v>5.0</v>
      </c>
      <c r="F160" s="12"/>
      <c r="G160" s="2" t="s">
        <v>949</v>
      </c>
      <c r="H160" s="13" t="s">
        <v>708</v>
      </c>
      <c r="I160" s="14">
        <v>43380.0</v>
      </c>
      <c r="J160" s="17" t="str">
        <f t="shared" si="1"/>
        <v>$1 Eggs Vs. $89 Eggs • Japan</v>
      </c>
      <c r="K160" s="11" t="s">
        <v>30</v>
      </c>
      <c r="L160" s="11" t="str">
        <f>VLOOKUP(A160, Map!A:G,2)</f>
        <v>$15 Spaghetti Vs. $143 Spaghetti</v>
      </c>
      <c r="M160" s="11" t="s">
        <v>713</v>
      </c>
      <c r="N160" s="2" t="s">
        <v>950</v>
      </c>
      <c r="O160" s="2" t="s">
        <v>621</v>
      </c>
      <c r="P160" s="15"/>
      <c r="Q160" s="15"/>
      <c r="R160" s="15"/>
      <c r="S160" s="15"/>
      <c r="T160" s="15"/>
      <c r="U160" s="15"/>
    </row>
    <row r="161">
      <c r="A161" s="6" t="str">
        <f>HYPERLINK("https://www.tsukiji-marutake.com/","Marutake")</f>
        <v>Marutake</v>
      </c>
      <c r="B161" s="7" t="s">
        <v>704</v>
      </c>
      <c r="C161" s="2" t="s">
        <v>41</v>
      </c>
      <c r="D161" s="2">
        <v>5.0</v>
      </c>
      <c r="E161" s="2">
        <v>5.0</v>
      </c>
      <c r="F161" s="12">
        <v>1.0</v>
      </c>
      <c r="G161" s="2" t="s">
        <v>956</v>
      </c>
      <c r="H161" s="13" t="s">
        <v>708</v>
      </c>
      <c r="I161" s="14">
        <v>43380.0</v>
      </c>
      <c r="J161" s="17" t="str">
        <f t="shared" si="1"/>
        <v>$1 Eggs Vs. $89 Eggs • Japan</v>
      </c>
      <c r="K161" s="11" t="s">
        <v>30</v>
      </c>
      <c r="L161" s="11" t="str">
        <f>VLOOKUP(A161, Map!A:G,2)</f>
        <v>$15 Spaghetti Vs. $143 Spaghetti</v>
      </c>
      <c r="M161" s="11" t="s">
        <v>717</v>
      </c>
      <c r="N161" s="2" t="s">
        <v>620</v>
      </c>
      <c r="O161" s="26" t="s">
        <v>621</v>
      </c>
      <c r="P161" s="15"/>
      <c r="Q161" s="15"/>
      <c r="R161" s="15"/>
      <c r="S161" s="15"/>
      <c r="T161" s="15"/>
      <c r="U161" s="15"/>
    </row>
    <row r="162">
      <c r="A162" s="6" t="str">
        <f t="shared" ref="A162:A163" si="16">HYPERLINK("http://kichi2.net/","The Yoshokuya Kichi Kichi")</f>
        <v>The Yoshokuya Kichi Kichi</v>
      </c>
      <c r="B162" s="7" t="s">
        <v>704</v>
      </c>
      <c r="C162" s="2" t="s">
        <v>21</v>
      </c>
      <c r="D162" s="2">
        <v>5.0</v>
      </c>
      <c r="E162" s="2">
        <v>5.0</v>
      </c>
      <c r="F162" s="12">
        <v>24.0</v>
      </c>
      <c r="G162" s="2" t="s">
        <v>962</v>
      </c>
      <c r="H162" s="13" t="s">
        <v>708</v>
      </c>
      <c r="I162" s="14">
        <v>43380.0</v>
      </c>
      <c r="J162" s="17" t="str">
        <f t="shared" si="1"/>
        <v>$1 Eggs Vs. $89 Eggs • Japan</v>
      </c>
      <c r="K162" s="11" t="s">
        <v>30</v>
      </c>
      <c r="L162" s="11" t="str">
        <f>VLOOKUP(A162, Map!A:G,2)</f>
        <v/>
      </c>
      <c r="M162" s="11" t="s">
        <v>721</v>
      </c>
      <c r="N162" s="2" t="s">
        <v>950</v>
      </c>
      <c r="O162" s="12" t="s">
        <v>621</v>
      </c>
      <c r="P162" s="2"/>
      <c r="Q162" s="2"/>
      <c r="R162" s="2"/>
      <c r="S162" s="2"/>
      <c r="T162" s="2" t="s">
        <v>963</v>
      </c>
      <c r="U162" s="15"/>
    </row>
    <row r="163">
      <c r="A163" s="6" t="str">
        <f t="shared" si="16"/>
        <v>The Yoshokuya Kichi Kichi</v>
      </c>
      <c r="B163" s="7" t="s">
        <v>704</v>
      </c>
      <c r="C163" s="2" t="s">
        <v>21</v>
      </c>
      <c r="D163" s="2">
        <v>5.0</v>
      </c>
      <c r="E163" s="2">
        <v>5.0</v>
      </c>
      <c r="F163" s="35"/>
      <c r="G163" s="2" t="s">
        <v>964</v>
      </c>
      <c r="H163" s="13" t="s">
        <v>708</v>
      </c>
      <c r="I163" s="14">
        <v>43380.0</v>
      </c>
      <c r="J163" s="17" t="str">
        <f t="shared" si="1"/>
        <v>$1 Eggs Vs. $89 Eggs • Japan</v>
      </c>
      <c r="K163" s="11" t="s">
        <v>30</v>
      </c>
      <c r="L163" s="11" t="str">
        <f>VLOOKUP(A163, Map!A:G,2)</f>
        <v/>
      </c>
      <c r="M163" s="11" t="s">
        <v>721</v>
      </c>
      <c r="N163" s="2" t="s">
        <v>950</v>
      </c>
      <c r="O163" s="2" t="s">
        <v>621</v>
      </c>
      <c r="P163" s="15"/>
      <c r="Q163" s="15"/>
      <c r="R163" s="15"/>
      <c r="S163" s="15"/>
      <c r="T163" s="15"/>
      <c r="U163" s="15"/>
    </row>
    <row r="164">
      <c r="A164" s="6" t="str">
        <f>HYPERLINK("https://www.boltonsspicy.com/","Bolton's Spicy Chicken &amp; Fish")</f>
        <v>Bolton's Spicy Chicken &amp; Fish</v>
      </c>
      <c r="B164" s="7" t="s">
        <v>723</v>
      </c>
      <c r="C164" s="2" t="s">
        <v>41</v>
      </c>
      <c r="D164" s="2">
        <v>5.0</v>
      </c>
      <c r="E164" s="2">
        <v>6.0</v>
      </c>
      <c r="F164" s="12">
        <v>5.75</v>
      </c>
      <c r="G164" s="2" t="s">
        <v>967</v>
      </c>
      <c r="H164" s="13" t="s">
        <v>727</v>
      </c>
      <c r="I164" s="14">
        <v>43387.0</v>
      </c>
      <c r="J164" s="17" t="str">
        <f t="shared" si="1"/>
        <v>$6 Sandwich Vs. $180 Sandwich</v>
      </c>
      <c r="K164" s="11" t="s">
        <v>30</v>
      </c>
      <c r="L164" s="11" t="str">
        <f>VLOOKUP(A164, Map!A:G,2)</f>
        <v>$5 Pizza Vs. $135 Pizza</v>
      </c>
      <c r="M164" s="11" t="s">
        <v>726</v>
      </c>
      <c r="N164" s="2" t="s">
        <v>973</v>
      </c>
      <c r="O164" s="25" t="s">
        <v>40</v>
      </c>
      <c r="P164" s="2"/>
      <c r="Q164" s="2"/>
      <c r="R164" s="2"/>
      <c r="S164" s="2"/>
      <c r="T164" s="2" t="s">
        <v>108</v>
      </c>
      <c r="U164" s="2" t="s">
        <v>728</v>
      </c>
    </row>
    <row r="165">
      <c r="A165" s="6" t="str">
        <f>HYPERLINK("http://www.theoinkster.com/","The Oinkster")</f>
        <v>The Oinkster</v>
      </c>
      <c r="B165" s="7" t="s">
        <v>723</v>
      </c>
      <c r="C165" s="2" t="s">
        <v>21</v>
      </c>
      <c r="D165" s="2">
        <v>5.0</v>
      </c>
      <c r="E165" s="2">
        <v>6.0</v>
      </c>
      <c r="F165" s="12">
        <v>11.5</v>
      </c>
      <c r="G165" s="2" t="s">
        <v>977</v>
      </c>
      <c r="H165" s="13" t="s">
        <v>727</v>
      </c>
      <c r="I165" s="14">
        <v>43387.0</v>
      </c>
      <c r="J165" s="17" t="str">
        <f t="shared" si="1"/>
        <v>$6 Sandwich Vs. $180 Sandwich</v>
      </c>
      <c r="K165" s="11" t="s">
        <v>30</v>
      </c>
      <c r="L165" s="11" t="str">
        <f>VLOOKUP(A165, Map!A:G,2)</f>
        <v/>
      </c>
      <c r="M165" s="11" t="s">
        <v>732</v>
      </c>
      <c r="N165" s="2" t="s">
        <v>39</v>
      </c>
      <c r="O165" s="25" t="s">
        <v>40</v>
      </c>
      <c r="P165" s="2"/>
      <c r="Q165" s="2"/>
      <c r="R165" s="2"/>
      <c r="S165" s="2"/>
      <c r="T165" s="2" t="s">
        <v>108</v>
      </c>
      <c r="U165" s="15"/>
    </row>
    <row r="166">
      <c r="A166" s="6" t="str">
        <f>HYPERLINK("http://www.wagyumafia.com/restaurants/?utm_source=tripadvisor&amp;utm_medium=referral","Wagyumafia Cutlet Sandwich")</f>
        <v>Wagyumafia Cutlet Sandwich</v>
      </c>
      <c r="B166" s="7" t="s">
        <v>723</v>
      </c>
      <c r="C166" s="2" t="s">
        <v>33</v>
      </c>
      <c r="D166" s="2">
        <v>5.0</v>
      </c>
      <c r="E166" s="2">
        <v>6.0</v>
      </c>
      <c r="F166" s="12">
        <v>180.0</v>
      </c>
      <c r="G166" s="2" t="s">
        <v>980</v>
      </c>
      <c r="H166" s="13" t="s">
        <v>727</v>
      </c>
      <c r="I166" s="14">
        <v>43387.0</v>
      </c>
      <c r="J166" s="17" t="str">
        <f t="shared" si="1"/>
        <v>$6 Sandwich Vs. $180 Sandwich</v>
      </c>
      <c r="K166" s="11" t="s">
        <v>30</v>
      </c>
      <c r="L166" s="11" t="str">
        <f>VLOOKUP(A166, Map!A:G,2)</f>
        <v/>
      </c>
      <c r="M166" s="11" t="s">
        <v>736</v>
      </c>
      <c r="N166" s="2" t="s">
        <v>620</v>
      </c>
      <c r="O166" s="12" t="s">
        <v>621</v>
      </c>
      <c r="P166" s="15"/>
      <c r="Q166" s="15"/>
      <c r="R166" s="15"/>
      <c r="S166" s="15"/>
      <c r="T166" s="15"/>
      <c r="U166" s="15"/>
    </row>
    <row r="167">
      <c r="A167" s="16" t="s">
        <v>783</v>
      </c>
      <c r="B167" s="7" t="s">
        <v>786</v>
      </c>
      <c r="C167" s="2" t="s">
        <v>21</v>
      </c>
      <c r="D167" s="2">
        <v>6.0</v>
      </c>
      <c r="E167" s="2">
        <v>1.0</v>
      </c>
      <c r="F167" s="12">
        <v>11.0</v>
      </c>
      <c r="G167" s="2" t="s">
        <v>986</v>
      </c>
      <c r="H167" s="13" t="s">
        <v>790</v>
      </c>
      <c r="I167" s="27">
        <v>43660.0</v>
      </c>
      <c r="J167" s="17" t="str">
        <f t="shared" si="1"/>
        <v>$4 Burrito Vs. $32 Burrito</v>
      </c>
      <c r="K167" s="11" t="s">
        <v>30</v>
      </c>
      <c r="L167" s="11" t="str">
        <f>VLOOKUP(A167, Map!A:G,2)</f>
        <v>$15 Spaghetti Vs. $143 Spaghetti</v>
      </c>
      <c r="M167" s="2" t="s">
        <v>789</v>
      </c>
      <c r="N167" s="2" t="s">
        <v>39</v>
      </c>
      <c r="O167" s="2" t="s">
        <v>40</v>
      </c>
      <c r="P167" s="2"/>
      <c r="Q167" s="2"/>
      <c r="R167" s="2"/>
      <c r="S167" s="2"/>
      <c r="T167" s="2" t="s">
        <v>51</v>
      </c>
      <c r="U167" s="2" t="s">
        <v>794</v>
      </c>
    </row>
    <row r="168">
      <c r="A168" s="16" t="s">
        <v>795</v>
      </c>
      <c r="B168" s="7" t="s">
        <v>786</v>
      </c>
      <c r="C168" s="15"/>
      <c r="D168" s="2">
        <v>6.0</v>
      </c>
      <c r="E168" s="2">
        <v>1.0</v>
      </c>
      <c r="F168" s="12" t="s">
        <v>992</v>
      </c>
      <c r="G168" s="2" t="s">
        <v>993</v>
      </c>
      <c r="H168" s="13" t="s">
        <v>790</v>
      </c>
      <c r="I168" s="27">
        <v>43660.0</v>
      </c>
      <c r="J168" s="17" t="str">
        <f t="shared" si="1"/>
        <v>$4 Burrito Vs. $32 Burrito</v>
      </c>
      <c r="K168" s="11" t="s">
        <v>30</v>
      </c>
      <c r="L168" s="11" t="str">
        <f>VLOOKUP(A168, Map!A:G,2)</f>
        <v/>
      </c>
      <c r="M168" s="2" t="s">
        <v>799</v>
      </c>
      <c r="N168" s="2" t="s">
        <v>39</v>
      </c>
      <c r="O168" s="2" t="s">
        <v>40</v>
      </c>
      <c r="P168" s="15"/>
      <c r="Q168" s="15"/>
      <c r="R168" s="15"/>
      <c r="S168" s="15"/>
      <c r="T168" s="15"/>
      <c r="U168" s="15"/>
    </row>
    <row r="169">
      <c r="A169" s="16" t="s">
        <v>800</v>
      </c>
      <c r="B169" s="7" t="s">
        <v>786</v>
      </c>
      <c r="C169" s="15"/>
      <c r="D169" s="2">
        <v>6.0</v>
      </c>
      <c r="E169" s="2">
        <v>1.0</v>
      </c>
      <c r="F169" s="12">
        <v>3.0</v>
      </c>
      <c r="G169" s="2" t="s">
        <v>997</v>
      </c>
      <c r="H169" s="13" t="s">
        <v>790</v>
      </c>
      <c r="I169" s="27">
        <v>43660.0</v>
      </c>
      <c r="J169" s="17" t="str">
        <f t="shared" si="1"/>
        <v>$4 Burrito Vs. $32 Burrito</v>
      </c>
      <c r="K169" s="11" t="s">
        <v>30</v>
      </c>
      <c r="L169" s="11" t="str">
        <f>VLOOKUP(A169, Map!A:G,2)</f>
        <v/>
      </c>
      <c r="M169" s="2" t="s">
        <v>804</v>
      </c>
      <c r="N169" s="2" t="s">
        <v>39</v>
      </c>
      <c r="O169" s="2" t="s">
        <v>40</v>
      </c>
      <c r="P169" s="15"/>
      <c r="Q169" s="15"/>
      <c r="R169" s="15"/>
      <c r="S169" s="15"/>
      <c r="T169" s="15"/>
      <c r="U169" s="15"/>
    </row>
    <row r="170">
      <c r="A170" s="16" t="s">
        <v>800</v>
      </c>
      <c r="B170" s="7" t="s">
        <v>786</v>
      </c>
      <c r="C170" s="15"/>
      <c r="D170" s="2">
        <v>6.0</v>
      </c>
      <c r="E170" s="2">
        <v>1.0</v>
      </c>
      <c r="F170" s="12">
        <v>3.0</v>
      </c>
      <c r="G170" s="2" t="s">
        <v>1001</v>
      </c>
      <c r="H170" s="13" t="s">
        <v>790</v>
      </c>
      <c r="I170" s="27">
        <v>43660.0</v>
      </c>
      <c r="J170" s="17" t="str">
        <f t="shared" si="1"/>
        <v>$4 Burrito Vs. $32 Burrito</v>
      </c>
      <c r="K170" s="11" t="s">
        <v>30</v>
      </c>
      <c r="L170" s="11" t="str">
        <f>VLOOKUP(A170, Map!A:G,2)</f>
        <v/>
      </c>
      <c r="M170" s="2" t="s">
        <v>804</v>
      </c>
      <c r="N170" s="2" t="s">
        <v>39</v>
      </c>
      <c r="O170" s="2" t="s">
        <v>40</v>
      </c>
      <c r="P170" s="15"/>
      <c r="Q170" s="15"/>
      <c r="R170" s="15"/>
      <c r="S170" s="15"/>
      <c r="T170" s="15"/>
      <c r="U170" s="15"/>
    </row>
    <row r="171">
      <c r="A171" s="16" t="s">
        <v>800</v>
      </c>
      <c r="B171" s="7" t="s">
        <v>786</v>
      </c>
      <c r="C171" s="15"/>
      <c r="D171" s="2">
        <v>6.0</v>
      </c>
      <c r="E171" s="2">
        <v>1.0</v>
      </c>
      <c r="F171" s="12">
        <v>3.5</v>
      </c>
      <c r="G171" s="2" t="s">
        <v>1006</v>
      </c>
      <c r="H171" s="13" t="s">
        <v>790</v>
      </c>
      <c r="I171" s="27">
        <v>43660.0</v>
      </c>
      <c r="J171" s="17" t="str">
        <f t="shared" si="1"/>
        <v>$4 Burrito Vs. $32 Burrito</v>
      </c>
      <c r="K171" s="11" t="s">
        <v>30</v>
      </c>
      <c r="L171" s="11" t="str">
        <f>VLOOKUP(A171, Map!A:G,2)</f>
        <v/>
      </c>
      <c r="M171" s="2" t="s">
        <v>804</v>
      </c>
      <c r="N171" s="2" t="s">
        <v>39</v>
      </c>
      <c r="O171" s="2" t="s">
        <v>40</v>
      </c>
      <c r="P171" s="2"/>
      <c r="Q171" s="2"/>
      <c r="R171" s="2"/>
      <c r="S171" s="2"/>
      <c r="T171" s="2" t="s">
        <v>1012</v>
      </c>
      <c r="U171" s="15"/>
    </row>
    <row r="172">
      <c r="A172" s="16" t="s">
        <v>800</v>
      </c>
      <c r="B172" s="7" t="s">
        <v>786</v>
      </c>
      <c r="C172" s="2" t="s">
        <v>41</v>
      </c>
      <c r="D172" s="2">
        <v>6.0</v>
      </c>
      <c r="E172" s="2">
        <v>1.0</v>
      </c>
      <c r="F172" s="12">
        <v>4.5</v>
      </c>
      <c r="G172" s="2" t="s">
        <v>1013</v>
      </c>
      <c r="H172" s="13" t="s">
        <v>790</v>
      </c>
      <c r="I172" s="27">
        <v>43660.0</v>
      </c>
      <c r="J172" s="17" t="str">
        <f t="shared" si="1"/>
        <v>$4 Burrito Vs. $32 Burrito</v>
      </c>
      <c r="K172" s="11" t="s">
        <v>30</v>
      </c>
      <c r="L172" s="11" t="str">
        <f>VLOOKUP(A172, Map!A:G,2)</f>
        <v/>
      </c>
      <c r="M172" s="2" t="s">
        <v>804</v>
      </c>
      <c r="N172" s="2" t="s">
        <v>39</v>
      </c>
      <c r="O172" s="2" t="s">
        <v>40</v>
      </c>
      <c r="P172" s="2"/>
      <c r="Q172" s="2"/>
      <c r="R172" s="2"/>
      <c r="S172" s="2"/>
      <c r="T172" s="2" t="s">
        <v>108</v>
      </c>
      <c r="U172" s="2" t="s">
        <v>1014</v>
      </c>
    </row>
    <row r="173">
      <c r="A173" s="16" t="s">
        <v>806</v>
      </c>
      <c r="B173" s="7" t="s">
        <v>786</v>
      </c>
      <c r="C173" s="2" t="s">
        <v>33</v>
      </c>
      <c r="D173" s="2">
        <v>6.0</v>
      </c>
      <c r="E173" s="2">
        <v>1.0</v>
      </c>
      <c r="F173" s="12">
        <v>32.0</v>
      </c>
      <c r="G173" s="2" t="s">
        <v>1020</v>
      </c>
      <c r="H173" s="13" t="s">
        <v>790</v>
      </c>
      <c r="I173" s="27">
        <v>43660.0</v>
      </c>
      <c r="J173" s="17" t="str">
        <f t="shared" si="1"/>
        <v>$4 Burrito Vs. $32 Burrito</v>
      </c>
      <c r="K173" s="2" t="s">
        <v>37</v>
      </c>
      <c r="L173" s="11" t="str">
        <f>VLOOKUP(A173, Map!A:G,2)</f>
        <v/>
      </c>
      <c r="M173" s="2" t="s">
        <v>810</v>
      </c>
      <c r="N173" s="2" t="s">
        <v>1022</v>
      </c>
      <c r="O173" s="2" t="s">
        <v>40</v>
      </c>
      <c r="P173" s="2"/>
      <c r="Q173" s="2"/>
      <c r="R173" s="2"/>
      <c r="S173" s="2"/>
      <c r="T173" s="2" t="s">
        <v>51</v>
      </c>
      <c r="U173" s="2" t="s">
        <v>811</v>
      </c>
    </row>
    <row r="174">
      <c r="A174" s="16" t="s">
        <v>812</v>
      </c>
      <c r="B174" s="7" t="s">
        <v>786</v>
      </c>
      <c r="C174" s="15"/>
      <c r="D174" s="2">
        <v>6.0</v>
      </c>
      <c r="E174" s="2">
        <v>1.0</v>
      </c>
      <c r="F174" s="12" t="s">
        <v>992</v>
      </c>
      <c r="G174" s="2" t="s">
        <v>1027</v>
      </c>
      <c r="H174" s="13" t="s">
        <v>790</v>
      </c>
      <c r="I174" s="27">
        <v>43660.0</v>
      </c>
      <c r="J174" s="17" t="str">
        <f t="shared" si="1"/>
        <v>$4 Burrito Vs. $32 Burrito</v>
      </c>
      <c r="K174" s="11" t="s">
        <v>30</v>
      </c>
      <c r="L174" s="11" t="str">
        <f>VLOOKUP(A174, Map!A:G,2)</f>
        <v/>
      </c>
      <c r="M174" s="2" t="s">
        <v>817</v>
      </c>
      <c r="N174" s="2" t="s">
        <v>1022</v>
      </c>
      <c r="O174" s="2" t="s">
        <v>40</v>
      </c>
      <c r="P174" s="15"/>
      <c r="Q174" s="15"/>
      <c r="R174" s="15"/>
      <c r="S174" s="15"/>
      <c r="T174" s="15"/>
      <c r="U174" s="15"/>
    </row>
    <row r="175">
      <c r="A175" s="16" t="s">
        <v>819</v>
      </c>
      <c r="B175" s="28" t="s">
        <v>821</v>
      </c>
      <c r="C175" s="2" t="s">
        <v>33</v>
      </c>
      <c r="D175" s="29">
        <v>6.0</v>
      </c>
      <c r="E175" s="30">
        <v>2.0</v>
      </c>
      <c r="F175" s="12">
        <v>30.0</v>
      </c>
      <c r="G175" s="2" t="s">
        <v>1030</v>
      </c>
      <c r="H175" s="31" t="s">
        <v>825</v>
      </c>
      <c r="I175" s="32">
        <v>43667.0</v>
      </c>
      <c r="J175" s="17" t="str">
        <f t="shared" si="1"/>
        <v>$3.50 Fish Tacos vs. $30 Fish Tacos</v>
      </c>
      <c r="K175" s="2" t="s">
        <v>37</v>
      </c>
      <c r="L175" s="11" t="str">
        <f>VLOOKUP(A175, Map!A:G,2)</f>
        <v>$5 Pizza Vs. $135 Pizza</v>
      </c>
      <c r="M175" s="2" t="s">
        <v>824</v>
      </c>
      <c r="N175" s="2" t="s">
        <v>39</v>
      </c>
      <c r="O175" s="2" t="s">
        <v>40</v>
      </c>
      <c r="P175" s="15"/>
      <c r="Q175" s="15"/>
      <c r="R175" s="15"/>
      <c r="S175" s="15"/>
      <c r="T175" s="15"/>
      <c r="U175" s="2" t="s">
        <v>828</v>
      </c>
    </row>
    <row r="176">
      <c r="A176" s="16" t="s">
        <v>830</v>
      </c>
      <c r="B176" s="28" t="s">
        <v>821</v>
      </c>
      <c r="C176" s="2" t="s">
        <v>21</v>
      </c>
      <c r="D176" s="29">
        <v>6.0</v>
      </c>
      <c r="E176" s="30">
        <v>2.0</v>
      </c>
      <c r="F176" s="12">
        <v>6.0</v>
      </c>
      <c r="G176" s="2" t="s">
        <v>1041</v>
      </c>
      <c r="H176" s="31" t="s">
        <v>825</v>
      </c>
      <c r="I176" s="32">
        <v>43667.0</v>
      </c>
      <c r="J176" s="17" t="str">
        <f t="shared" si="1"/>
        <v>$3.50 Fish Tacos vs. $30 Fish Tacos</v>
      </c>
      <c r="K176" s="11" t="s">
        <v>30</v>
      </c>
      <c r="L176" s="11" t="str">
        <f>VLOOKUP(A176, Map!A:G,2)</f>
        <v>$5 Pizza Vs. $135 Pizza</v>
      </c>
      <c r="M176" s="2" t="s">
        <v>834</v>
      </c>
      <c r="N176" s="2" t="s">
        <v>39</v>
      </c>
      <c r="O176" s="2" t="s">
        <v>40</v>
      </c>
      <c r="P176" s="2">
        <v>1.0</v>
      </c>
      <c r="Q176" s="2">
        <v>1.0</v>
      </c>
      <c r="R176" s="2">
        <v>1.0</v>
      </c>
      <c r="S176" s="15"/>
      <c r="T176" s="15"/>
      <c r="U176" s="15"/>
    </row>
    <row r="177">
      <c r="A177" s="16" t="s">
        <v>830</v>
      </c>
      <c r="B177" s="28" t="s">
        <v>821</v>
      </c>
      <c r="C177" s="2" t="s">
        <v>21</v>
      </c>
      <c r="D177" s="29">
        <v>6.0</v>
      </c>
      <c r="E177" s="30">
        <v>2.0</v>
      </c>
      <c r="F177" s="12">
        <v>6.0</v>
      </c>
      <c r="G177" s="2" t="s">
        <v>1045</v>
      </c>
      <c r="H177" s="31" t="s">
        <v>825</v>
      </c>
      <c r="I177" s="32">
        <v>43667.0</v>
      </c>
      <c r="J177" s="17" t="str">
        <f t="shared" si="1"/>
        <v>$3.50 Fish Tacos vs. $30 Fish Tacos</v>
      </c>
      <c r="K177" s="11" t="s">
        <v>30</v>
      </c>
      <c r="L177" s="11" t="str">
        <f>VLOOKUP(A177, Map!A:G,2)</f>
        <v>$5 Pizza Vs. $135 Pizza</v>
      </c>
      <c r="M177" s="2" t="s">
        <v>834</v>
      </c>
      <c r="N177" s="2" t="s">
        <v>39</v>
      </c>
      <c r="O177" s="2" t="s">
        <v>40</v>
      </c>
      <c r="P177" s="15"/>
      <c r="Q177" s="15"/>
      <c r="R177" s="15"/>
      <c r="S177" s="15"/>
      <c r="T177" s="15"/>
      <c r="U177" s="15"/>
    </row>
    <row r="178">
      <c r="A178" s="16" t="s">
        <v>830</v>
      </c>
      <c r="B178" s="28" t="s">
        <v>821</v>
      </c>
      <c r="C178" s="2" t="s">
        <v>21</v>
      </c>
      <c r="D178" s="29">
        <v>6.0</v>
      </c>
      <c r="E178" s="30">
        <v>2.0</v>
      </c>
      <c r="F178" s="12">
        <v>28.0</v>
      </c>
      <c r="G178" s="2" t="s">
        <v>1048</v>
      </c>
      <c r="H178" s="31" t="s">
        <v>825</v>
      </c>
      <c r="I178" s="32">
        <v>43667.0</v>
      </c>
      <c r="J178" s="17" t="str">
        <f t="shared" si="1"/>
        <v>$3.50 Fish Tacos vs. $30 Fish Tacos</v>
      </c>
      <c r="K178" s="11" t="s">
        <v>30</v>
      </c>
      <c r="L178" s="11" t="str">
        <f>VLOOKUP(A178, Map!A:G,2)</f>
        <v>$5 Pizza Vs. $135 Pizza</v>
      </c>
      <c r="M178" s="2" t="s">
        <v>834</v>
      </c>
      <c r="N178" s="2" t="s">
        <v>39</v>
      </c>
      <c r="O178" s="2" t="s">
        <v>40</v>
      </c>
      <c r="P178" s="15"/>
      <c r="Q178" s="15"/>
      <c r="R178" s="15"/>
      <c r="S178" s="15"/>
      <c r="T178" s="15"/>
      <c r="U178" s="15"/>
    </row>
    <row r="179">
      <c r="A179" s="16" t="s">
        <v>835</v>
      </c>
      <c r="B179" s="28" t="s">
        <v>821</v>
      </c>
      <c r="C179" s="2" t="s">
        <v>41</v>
      </c>
      <c r="D179" s="29">
        <v>6.0</v>
      </c>
      <c r="E179" s="30">
        <v>2.0</v>
      </c>
      <c r="F179" s="12">
        <v>3.5</v>
      </c>
      <c r="G179" s="2" t="s">
        <v>1054</v>
      </c>
      <c r="H179" s="31" t="s">
        <v>825</v>
      </c>
      <c r="I179" s="32">
        <v>43667.0</v>
      </c>
      <c r="J179" s="17" t="str">
        <f t="shared" si="1"/>
        <v>$3.50 Fish Tacos vs. $30 Fish Tacos</v>
      </c>
      <c r="K179" s="11" t="s">
        <v>30</v>
      </c>
      <c r="L179" s="11" t="str">
        <f>VLOOKUP(A179, Map!A:G,2)</f>
        <v/>
      </c>
      <c r="M179" s="2" t="s">
        <v>841</v>
      </c>
      <c r="N179" s="2" t="s">
        <v>39</v>
      </c>
      <c r="O179" s="2" t="s">
        <v>40</v>
      </c>
      <c r="P179" s="15"/>
      <c r="Q179" s="15"/>
      <c r="R179" s="15"/>
      <c r="S179" s="2">
        <v>1.0</v>
      </c>
      <c r="T179" s="15"/>
      <c r="U179" s="2" t="s">
        <v>842</v>
      </c>
    </row>
    <row r="180">
      <c r="A180" s="16" t="s">
        <v>1055</v>
      </c>
      <c r="B180" s="7" t="s">
        <v>845</v>
      </c>
      <c r="C180" s="15"/>
      <c r="D180" s="2">
        <v>6.0</v>
      </c>
      <c r="E180" s="2">
        <v>3.0</v>
      </c>
      <c r="F180" s="35"/>
      <c r="G180" s="15"/>
      <c r="H180" s="13" t="s">
        <v>849</v>
      </c>
      <c r="I180" s="14">
        <v>43674.0</v>
      </c>
      <c r="J180" s="13" t="str">
        <f t="shared" si="1"/>
        <v>$13 Korean Soup Vs. $88 Korean Soup</v>
      </c>
      <c r="K180" s="11" t="s">
        <v>30</v>
      </c>
      <c r="L180" s="11" t="str">
        <f>VLOOKUP(A180, Map!A:G,2)</f>
        <v>$5 Pizza Vs. $135 Pizza</v>
      </c>
      <c r="M180" s="2" t="s">
        <v>139</v>
      </c>
      <c r="N180" s="2" t="s">
        <v>39</v>
      </c>
      <c r="O180" s="2" t="s">
        <v>40</v>
      </c>
      <c r="P180" s="15"/>
      <c r="Q180" s="15"/>
      <c r="R180" s="15"/>
      <c r="S180" s="15"/>
      <c r="T180" s="15"/>
      <c r="U180" s="36" t="s">
        <v>1062</v>
      </c>
    </row>
    <row r="181">
      <c r="A181" s="16" t="s">
        <v>1063</v>
      </c>
      <c r="B181" s="7" t="s">
        <v>845</v>
      </c>
      <c r="C181" s="2" t="s">
        <v>645</v>
      </c>
      <c r="D181" s="2">
        <v>6.0</v>
      </c>
      <c r="E181" s="2">
        <v>3.0</v>
      </c>
      <c r="F181" s="35"/>
      <c r="G181" s="2" t="s">
        <v>1069</v>
      </c>
      <c r="H181" s="13" t="s">
        <v>849</v>
      </c>
      <c r="I181" s="14">
        <v>43674.0</v>
      </c>
      <c r="J181" s="13" t="str">
        <f t="shared" si="1"/>
        <v>$13 Korean Soup Vs. $88 Korean Soup</v>
      </c>
      <c r="K181" s="11" t="s">
        <v>30</v>
      </c>
      <c r="L181" s="11" t="str">
        <f>VLOOKUP(A181, Map!A:G,2)</f>
        <v>$5 Pizza Vs. $135 Pizza</v>
      </c>
      <c r="M181" s="2" t="s">
        <v>848</v>
      </c>
      <c r="N181" s="2" t="s">
        <v>39</v>
      </c>
      <c r="O181" s="2" t="s">
        <v>40</v>
      </c>
      <c r="P181" s="15"/>
      <c r="Q181" s="15"/>
      <c r="R181" s="15"/>
      <c r="S181" s="15"/>
      <c r="T181" s="15"/>
      <c r="U181" s="15"/>
    </row>
    <row r="182">
      <c r="A182" s="16" t="s">
        <v>851</v>
      </c>
      <c r="B182" s="7" t="s">
        <v>845</v>
      </c>
      <c r="C182" s="2" t="s">
        <v>41</v>
      </c>
      <c r="D182" s="2">
        <v>6.0</v>
      </c>
      <c r="E182" s="2">
        <v>3.0</v>
      </c>
      <c r="F182" s="12">
        <v>13.5</v>
      </c>
      <c r="G182" s="2" t="s">
        <v>1075</v>
      </c>
      <c r="H182" s="13" t="s">
        <v>849</v>
      </c>
      <c r="I182" s="14">
        <v>43674.0</v>
      </c>
      <c r="J182" s="13" t="str">
        <f t="shared" si="1"/>
        <v>$13 Korean Soup Vs. $88 Korean Soup</v>
      </c>
      <c r="K182" s="11" t="s">
        <v>30</v>
      </c>
      <c r="L182" s="11" t="str">
        <f>VLOOKUP(A182, Map!A:G,2)</f>
        <v>$5 Pizza Vs. $135 Pizza</v>
      </c>
      <c r="M182" s="2" t="s">
        <v>856</v>
      </c>
      <c r="N182" s="2" t="s">
        <v>39</v>
      </c>
      <c r="O182" s="2" t="s">
        <v>40</v>
      </c>
      <c r="P182" s="15"/>
      <c r="Q182" s="15"/>
      <c r="R182" s="2">
        <v>1.0</v>
      </c>
      <c r="S182" s="15"/>
      <c r="T182" s="15"/>
      <c r="U182" s="2" t="s">
        <v>857</v>
      </c>
    </row>
    <row r="183">
      <c r="A183" s="16" t="s">
        <v>858</v>
      </c>
      <c r="B183" s="7" t="s">
        <v>845</v>
      </c>
      <c r="C183" s="2" t="s">
        <v>33</v>
      </c>
      <c r="D183" s="2">
        <v>6.0</v>
      </c>
      <c r="E183" s="2">
        <v>3.0</v>
      </c>
      <c r="F183" s="12">
        <v>88.0</v>
      </c>
      <c r="G183" s="2" t="s">
        <v>1081</v>
      </c>
      <c r="H183" s="13" t="s">
        <v>849</v>
      </c>
      <c r="I183" s="14">
        <v>43674.0</v>
      </c>
      <c r="J183" s="13" t="str">
        <f t="shared" si="1"/>
        <v>$13 Korean Soup Vs. $88 Korean Soup</v>
      </c>
      <c r="K183" s="11" t="s">
        <v>30</v>
      </c>
      <c r="L183" s="11" t="str">
        <f>VLOOKUP(A183, Map!A:G,2)</f>
        <v>$15 Spaghetti Vs. $143 Spaghetti</v>
      </c>
      <c r="M183" s="2" t="s">
        <v>862</v>
      </c>
      <c r="N183" s="2" t="s">
        <v>39</v>
      </c>
      <c r="O183" s="2" t="s">
        <v>40</v>
      </c>
      <c r="P183" s="15"/>
      <c r="Q183" s="15"/>
      <c r="R183" s="15"/>
      <c r="S183" s="15"/>
      <c r="T183" s="15"/>
      <c r="U183" s="15"/>
    </row>
    <row r="184">
      <c r="A184" s="16" t="s">
        <v>1083</v>
      </c>
      <c r="B184" s="7" t="s">
        <v>845</v>
      </c>
      <c r="C184" s="2" t="s">
        <v>21</v>
      </c>
      <c r="D184" s="2">
        <v>6.0</v>
      </c>
      <c r="E184" s="2">
        <v>3.0</v>
      </c>
      <c r="F184" s="12">
        <v>16.95</v>
      </c>
      <c r="G184" s="2" t="s">
        <v>1088</v>
      </c>
      <c r="H184" s="13" t="s">
        <v>849</v>
      </c>
      <c r="I184" s="14">
        <v>43674.0</v>
      </c>
      <c r="J184" s="13" t="str">
        <f t="shared" si="1"/>
        <v>$13 Korean Soup Vs. $88 Korean Soup</v>
      </c>
      <c r="K184" s="11" t="s">
        <v>30</v>
      </c>
      <c r="L184" s="11" t="str">
        <f>VLOOKUP(A184, Map!A:G,2)</f>
        <v/>
      </c>
      <c r="M184" s="2" t="s">
        <v>1090</v>
      </c>
      <c r="N184" s="2" t="s">
        <v>39</v>
      </c>
      <c r="O184" s="2" t="s">
        <v>40</v>
      </c>
      <c r="P184" s="2">
        <v>1.0</v>
      </c>
      <c r="Q184" s="2">
        <v>1.0</v>
      </c>
      <c r="R184" s="15"/>
      <c r="S184" s="2">
        <v>1.0</v>
      </c>
      <c r="T184" s="15"/>
      <c r="U184" s="2" t="s">
        <v>1091</v>
      </c>
    </row>
    <row r="185">
      <c r="A185" s="16" t="s">
        <v>864</v>
      </c>
      <c r="B185" s="7" t="s">
        <v>865</v>
      </c>
      <c r="C185" s="15"/>
      <c r="D185" s="2">
        <v>6.0</v>
      </c>
      <c r="E185" s="2">
        <v>4.0</v>
      </c>
      <c r="F185" s="12">
        <v>18.0</v>
      </c>
      <c r="G185" s="2" t="s">
        <v>1097</v>
      </c>
      <c r="H185" s="13" t="s">
        <v>869</v>
      </c>
      <c r="I185" s="14">
        <v>43681.0</v>
      </c>
      <c r="J185" s="13" t="str">
        <f t="shared" si="1"/>
        <v>$11 Salad Vs. $95 Salad</v>
      </c>
      <c r="K185" s="11" t="s">
        <v>30</v>
      </c>
      <c r="L185" s="11" t="str">
        <f>VLOOKUP(A185, Map!A:G,2)</f>
        <v>$5 Pizza Vs. $135 Pizza</v>
      </c>
      <c r="M185" s="2" t="s">
        <v>868</v>
      </c>
      <c r="N185" s="2" t="s">
        <v>39</v>
      </c>
      <c r="O185" s="2" t="s">
        <v>40</v>
      </c>
      <c r="P185" s="15"/>
      <c r="Q185" s="15"/>
      <c r="R185" s="15"/>
      <c r="S185" s="15"/>
      <c r="T185" s="15"/>
      <c r="U185" s="2" t="s">
        <v>872</v>
      </c>
    </row>
    <row r="186">
      <c r="A186" s="16" t="s">
        <v>864</v>
      </c>
      <c r="B186" s="7" t="s">
        <v>865</v>
      </c>
      <c r="C186" s="2" t="s">
        <v>33</v>
      </c>
      <c r="D186" s="2">
        <v>6.0</v>
      </c>
      <c r="E186" s="2">
        <v>4.0</v>
      </c>
      <c r="F186" s="12">
        <v>95.0</v>
      </c>
      <c r="G186" s="2" t="s">
        <v>1102</v>
      </c>
      <c r="H186" s="13" t="s">
        <v>869</v>
      </c>
      <c r="I186" s="14">
        <v>43681.0</v>
      </c>
      <c r="J186" s="13" t="str">
        <f t="shared" si="1"/>
        <v>$11 Salad Vs. $95 Salad</v>
      </c>
      <c r="K186" s="11" t="s">
        <v>30</v>
      </c>
      <c r="L186" s="11" t="str">
        <f>VLOOKUP(A186, Map!A:G,2)</f>
        <v>$5 Pizza Vs. $135 Pizza</v>
      </c>
      <c r="M186" s="2" t="s">
        <v>868</v>
      </c>
      <c r="N186" s="2" t="s">
        <v>39</v>
      </c>
      <c r="O186" s="2" t="s">
        <v>40</v>
      </c>
      <c r="P186" s="2">
        <v>1.0</v>
      </c>
      <c r="Q186" s="15"/>
      <c r="R186" s="15"/>
      <c r="S186" s="15"/>
      <c r="T186" s="15"/>
      <c r="U186" s="15"/>
    </row>
    <row r="187">
      <c r="A187" s="16" t="s">
        <v>874</v>
      </c>
      <c r="B187" s="7" t="s">
        <v>865</v>
      </c>
      <c r="C187" s="2" t="s">
        <v>41</v>
      </c>
      <c r="D187" s="2">
        <v>6.0</v>
      </c>
      <c r="E187" s="2">
        <v>4.0</v>
      </c>
      <c r="F187" s="12">
        <v>11.0</v>
      </c>
      <c r="G187" s="2" t="s">
        <v>1109</v>
      </c>
      <c r="H187" s="13" t="s">
        <v>869</v>
      </c>
      <c r="I187" s="14">
        <v>43681.0</v>
      </c>
      <c r="J187" s="13" t="str">
        <f t="shared" si="1"/>
        <v>$11 Salad Vs. $95 Salad</v>
      </c>
      <c r="K187" s="11" t="s">
        <v>30</v>
      </c>
      <c r="L187" s="11" t="str">
        <f>VLOOKUP(A187, Map!A:G,2)</f>
        <v>$15 Spaghetti Vs. $143 Spaghetti</v>
      </c>
      <c r="M187" s="2" t="s">
        <v>879</v>
      </c>
      <c r="N187" s="2" t="s">
        <v>39</v>
      </c>
      <c r="O187" s="2" t="s">
        <v>40</v>
      </c>
      <c r="P187" s="15"/>
      <c r="Q187" s="2">
        <v>1.0</v>
      </c>
      <c r="R187" s="2">
        <v>1.0</v>
      </c>
      <c r="S187" s="15"/>
      <c r="T187" s="15"/>
      <c r="U187" s="2" t="s">
        <v>1111</v>
      </c>
    </row>
    <row r="188">
      <c r="A188" s="16" t="s">
        <v>874</v>
      </c>
      <c r="B188" s="7" t="s">
        <v>865</v>
      </c>
      <c r="C188" s="15"/>
      <c r="D188" s="2">
        <v>6.0</v>
      </c>
      <c r="E188" s="2">
        <v>4.0</v>
      </c>
      <c r="F188" s="12">
        <v>13.0</v>
      </c>
      <c r="G188" s="2" t="s">
        <v>1113</v>
      </c>
      <c r="H188" s="13" t="s">
        <v>869</v>
      </c>
      <c r="I188" s="14">
        <v>43681.0</v>
      </c>
      <c r="J188" s="13" t="str">
        <f t="shared" si="1"/>
        <v>$11 Salad Vs. $95 Salad</v>
      </c>
      <c r="K188" s="11" t="s">
        <v>30</v>
      </c>
      <c r="L188" s="11" t="str">
        <f>VLOOKUP(A188, Map!A:G,2)</f>
        <v>$15 Spaghetti Vs. $143 Spaghetti</v>
      </c>
      <c r="M188" s="2" t="s">
        <v>879</v>
      </c>
      <c r="N188" s="2" t="s">
        <v>39</v>
      </c>
      <c r="O188" s="2" t="s">
        <v>40</v>
      </c>
      <c r="P188" s="15"/>
      <c r="Q188" s="15"/>
      <c r="R188" s="15"/>
      <c r="S188" s="15"/>
      <c r="T188" s="15"/>
      <c r="U188" s="15"/>
    </row>
    <row r="189">
      <c r="A189" s="16" t="s">
        <v>874</v>
      </c>
      <c r="B189" s="7" t="s">
        <v>865</v>
      </c>
      <c r="C189" s="15"/>
      <c r="D189" s="2">
        <v>6.0</v>
      </c>
      <c r="E189" s="2">
        <v>4.0</v>
      </c>
      <c r="F189" s="12">
        <v>14.5</v>
      </c>
      <c r="G189" s="2" t="s">
        <v>1116</v>
      </c>
      <c r="H189" s="13" t="s">
        <v>869</v>
      </c>
      <c r="I189" s="14">
        <v>43681.0</v>
      </c>
      <c r="J189" s="13" t="str">
        <f t="shared" si="1"/>
        <v>$11 Salad Vs. $95 Salad</v>
      </c>
      <c r="K189" s="11" t="s">
        <v>30</v>
      </c>
      <c r="L189" s="11" t="str">
        <f>VLOOKUP(A189, Map!A:G,2)</f>
        <v>$15 Spaghetti Vs. $143 Spaghetti</v>
      </c>
      <c r="M189" s="2" t="s">
        <v>879</v>
      </c>
      <c r="N189" s="2" t="s">
        <v>39</v>
      </c>
      <c r="O189" s="2" t="s">
        <v>40</v>
      </c>
      <c r="P189" s="15"/>
      <c r="Q189" s="15"/>
      <c r="R189" s="15"/>
      <c r="S189" s="15"/>
      <c r="T189" s="15"/>
      <c r="U189" s="15"/>
    </row>
    <row r="190">
      <c r="A190" s="2" t="s">
        <v>992</v>
      </c>
      <c r="B190" s="7" t="s">
        <v>865</v>
      </c>
      <c r="C190" s="15"/>
      <c r="D190" s="2">
        <v>6.0</v>
      </c>
      <c r="E190" s="2">
        <v>4.0</v>
      </c>
      <c r="F190" s="35"/>
      <c r="G190" s="2" t="s">
        <v>1120</v>
      </c>
      <c r="H190" s="13" t="s">
        <v>869</v>
      </c>
      <c r="I190" s="14">
        <v>43681.0</v>
      </c>
      <c r="J190" s="13" t="str">
        <f t="shared" si="1"/>
        <v>$11 Salad Vs. $95 Salad</v>
      </c>
      <c r="K190" s="11" t="s">
        <v>30</v>
      </c>
      <c r="L190" s="11" t="str">
        <f>VLOOKUP(A190, Map!A:G,2)</f>
        <v>$15 Spaghetti Vs. $143 Spaghetti</v>
      </c>
      <c r="M190" s="2" t="s">
        <v>992</v>
      </c>
      <c r="N190" s="2" t="s">
        <v>39</v>
      </c>
      <c r="O190" s="2" t="s">
        <v>40</v>
      </c>
      <c r="P190" s="15"/>
      <c r="Q190" s="15"/>
      <c r="R190" s="15"/>
      <c r="S190" s="15"/>
      <c r="T190" s="15"/>
      <c r="U190" s="2" t="s">
        <v>1121</v>
      </c>
    </row>
    <row r="191">
      <c r="A191" s="16" t="s">
        <v>880</v>
      </c>
      <c r="B191" s="7" t="s">
        <v>865</v>
      </c>
      <c r="C191" s="2" t="s">
        <v>21</v>
      </c>
      <c r="D191" s="2">
        <v>6.0</v>
      </c>
      <c r="E191" s="2">
        <v>4.0</v>
      </c>
      <c r="F191" s="12">
        <v>19.0</v>
      </c>
      <c r="G191" s="2" t="s">
        <v>1124</v>
      </c>
      <c r="H191" s="13" t="s">
        <v>869</v>
      </c>
      <c r="I191" s="14">
        <v>43681.0</v>
      </c>
      <c r="J191" s="13" t="str">
        <f t="shared" si="1"/>
        <v>$11 Salad Vs. $95 Salad</v>
      </c>
      <c r="K191" s="11" t="s">
        <v>30</v>
      </c>
      <c r="L191" s="11" t="str">
        <f>VLOOKUP(A191, Map!A:G,2)</f>
        <v>$15 Spaghetti Vs. $143 Spaghetti</v>
      </c>
      <c r="M191" s="2" t="s">
        <v>70</v>
      </c>
      <c r="N191" s="2" t="s">
        <v>39</v>
      </c>
      <c r="O191" s="2" t="s">
        <v>40</v>
      </c>
      <c r="P191" s="15"/>
      <c r="Q191" s="15"/>
      <c r="R191" s="15"/>
      <c r="S191" s="15"/>
      <c r="T191" s="15"/>
      <c r="U191" s="15"/>
    </row>
    <row r="192">
      <c r="A192" s="16" t="s">
        <v>880</v>
      </c>
      <c r="B192" s="7" t="s">
        <v>865</v>
      </c>
      <c r="C192" s="15"/>
      <c r="D192" s="2">
        <v>6.0</v>
      </c>
      <c r="E192" s="2">
        <v>4.0</v>
      </c>
      <c r="F192" s="12">
        <v>22.0</v>
      </c>
      <c r="G192" s="2" t="s">
        <v>1125</v>
      </c>
      <c r="H192" s="13" t="s">
        <v>869</v>
      </c>
      <c r="I192" s="14">
        <v>43681.0</v>
      </c>
      <c r="J192" s="13" t="str">
        <f t="shared" si="1"/>
        <v>$11 Salad Vs. $95 Salad</v>
      </c>
      <c r="K192" s="11" t="s">
        <v>30</v>
      </c>
      <c r="L192" s="11" t="str">
        <f>VLOOKUP(A192, Map!A:G,2)</f>
        <v>$15 Spaghetti Vs. $143 Spaghetti</v>
      </c>
      <c r="M192" s="2" t="s">
        <v>70</v>
      </c>
      <c r="N192" s="2" t="s">
        <v>39</v>
      </c>
      <c r="O192" s="2" t="s">
        <v>40</v>
      </c>
      <c r="P192" s="15"/>
      <c r="Q192" s="15"/>
      <c r="R192" s="15"/>
      <c r="S192" s="2">
        <v>1.0</v>
      </c>
      <c r="T192" s="15"/>
      <c r="U192" s="15"/>
    </row>
    <row r="193">
      <c r="A193" s="16" t="s">
        <v>884</v>
      </c>
      <c r="B193" s="7" t="s">
        <v>887</v>
      </c>
      <c r="C193" s="2" t="s">
        <v>21</v>
      </c>
      <c r="D193" s="2">
        <v>6.0</v>
      </c>
      <c r="E193" s="2">
        <v>5.0</v>
      </c>
      <c r="F193" s="12">
        <v>24.0</v>
      </c>
      <c r="G193" s="2" t="s">
        <v>1130</v>
      </c>
      <c r="H193" s="13" t="s">
        <v>892</v>
      </c>
      <c r="I193" s="14">
        <v>43688.0</v>
      </c>
      <c r="J193" s="13" t="str">
        <f t="shared" si="1"/>
        <v>$13 Lasagna Vs. $60 Lasagna</v>
      </c>
      <c r="K193" s="11" t="s">
        <v>30</v>
      </c>
      <c r="L193" s="11" t="str">
        <f>VLOOKUP(A193, Map!A:G,2)</f>
        <v>#N/A</v>
      </c>
      <c r="M193" s="2" t="s">
        <v>891</v>
      </c>
      <c r="N193" s="2" t="s">
        <v>39</v>
      </c>
      <c r="O193" s="2" t="s">
        <v>40</v>
      </c>
      <c r="P193" s="15"/>
      <c r="Q193" s="15"/>
      <c r="R193" s="15"/>
      <c r="S193" s="15"/>
      <c r="T193" s="15"/>
      <c r="U193" s="2" t="s">
        <v>894</v>
      </c>
    </row>
    <row r="194">
      <c r="A194" s="16" t="s">
        <v>895</v>
      </c>
      <c r="B194" s="7" t="s">
        <v>887</v>
      </c>
      <c r="C194" s="2" t="s">
        <v>33</v>
      </c>
      <c r="D194" s="2">
        <v>6.0</v>
      </c>
      <c r="E194" s="2">
        <v>5.0</v>
      </c>
      <c r="F194" s="12">
        <v>60.0</v>
      </c>
      <c r="G194" s="2" t="s">
        <v>1141</v>
      </c>
      <c r="H194" s="13" t="s">
        <v>892</v>
      </c>
      <c r="I194" s="14">
        <v>43688.0</v>
      </c>
      <c r="J194" s="13" t="str">
        <f t="shared" si="1"/>
        <v>$13 Lasagna Vs. $60 Lasagna</v>
      </c>
      <c r="K194" s="11" t="s">
        <v>30</v>
      </c>
      <c r="L194" s="11" t="str">
        <f>VLOOKUP(A194, Map!A:G,2)</f>
        <v>$5 Pizza Vs. $135 Pizza</v>
      </c>
      <c r="M194" s="2" t="s">
        <v>899</v>
      </c>
      <c r="N194" s="2" t="s">
        <v>852</v>
      </c>
      <c r="O194" s="2" t="s">
        <v>40</v>
      </c>
      <c r="P194" s="2"/>
      <c r="Q194" s="2"/>
      <c r="R194" s="2"/>
      <c r="S194" s="2"/>
      <c r="T194" s="2" t="s">
        <v>51</v>
      </c>
      <c r="U194" s="2" t="s">
        <v>900</v>
      </c>
    </row>
    <row r="195">
      <c r="A195" s="16" t="s">
        <v>901</v>
      </c>
      <c r="B195" s="7" t="s">
        <v>887</v>
      </c>
      <c r="C195" s="2" t="s">
        <v>41</v>
      </c>
      <c r="D195" s="2">
        <v>6.0</v>
      </c>
      <c r="E195" s="2">
        <v>5.0</v>
      </c>
      <c r="F195" s="12">
        <v>13.25</v>
      </c>
      <c r="G195" s="2" t="s">
        <v>1143</v>
      </c>
      <c r="H195" s="13" t="s">
        <v>892</v>
      </c>
      <c r="I195" s="14">
        <v>43688.0</v>
      </c>
      <c r="J195" s="13" t="str">
        <f t="shared" si="1"/>
        <v>$13 Lasagna Vs. $60 Lasagna</v>
      </c>
      <c r="K195" s="2" t="s">
        <v>37</v>
      </c>
      <c r="L195" s="11" t="str">
        <f>VLOOKUP(A195, Map!A:G,2)</f>
        <v>$15 Spaghetti Vs. $143 Spaghetti</v>
      </c>
      <c r="M195" s="11" t="s">
        <v>904</v>
      </c>
      <c r="N195" s="2" t="s">
        <v>39</v>
      </c>
      <c r="O195" s="2" t="s">
        <v>40</v>
      </c>
      <c r="P195" s="2"/>
      <c r="Q195" s="2"/>
      <c r="R195" s="2"/>
      <c r="S195" s="2"/>
      <c r="T195" s="2" t="s">
        <v>158</v>
      </c>
      <c r="U195" s="2" t="s">
        <v>905</v>
      </c>
    </row>
    <row r="196">
      <c r="A196" s="6" t="str">
        <f t="shared" ref="A196:A197" si="17">HYPERLINK("http://www.tetsunyc.com/","CLOSED Tetsu")</f>
        <v>CLOSED Tetsu</v>
      </c>
      <c r="B196" s="7" t="s">
        <v>907</v>
      </c>
      <c r="C196" s="2" t="s">
        <v>33</v>
      </c>
      <c r="D196" s="2">
        <v>6.0</v>
      </c>
      <c r="E196" s="2">
        <v>6.0</v>
      </c>
      <c r="F196" s="12">
        <v>23.0</v>
      </c>
      <c r="G196" s="2" t="s">
        <v>1148</v>
      </c>
      <c r="H196" s="13" t="s">
        <v>912</v>
      </c>
      <c r="I196" s="14">
        <v>43695.0</v>
      </c>
      <c r="J196" s="17" t="str">
        <f t="shared" si="1"/>
        <v>$10 Sushi &amp; Burger Vs. $58 Sushi &amp; Burger</v>
      </c>
      <c r="K196" s="11" t="s">
        <v>30</v>
      </c>
      <c r="L196" s="11" t="str">
        <f>VLOOKUP(A196, Map!A:G,2)</f>
        <v>$5 Pizza Vs. $135 Pizza</v>
      </c>
      <c r="M196" s="11" t="s">
        <v>910</v>
      </c>
      <c r="N196" s="2" t="s">
        <v>341</v>
      </c>
      <c r="O196" s="2" t="s">
        <v>40</v>
      </c>
      <c r="P196" s="2"/>
      <c r="Q196" s="2"/>
      <c r="R196" s="2"/>
      <c r="S196" s="2"/>
      <c r="T196" s="2" t="s">
        <v>108</v>
      </c>
      <c r="U196" s="15"/>
    </row>
    <row r="197">
      <c r="A197" s="6" t="str">
        <f t="shared" si="17"/>
        <v>CLOSED Tetsu</v>
      </c>
      <c r="B197" s="7" t="s">
        <v>907</v>
      </c>
      <c r="C197" s="2" t="s">
        <v>33</v>
      </c>
      <c r="D197" s="2">
        <v>6.0</v>
      </c>
      <c r="E197" s="2">
        <v>6.0</v>
      </c>
      <c r="F197" s="12">
        <v>35.0</v>
      </c>
      <c r="G197" s="2" t="s">
        <v>1158</v>
      </c>
      <c r="H197" s="13" t="s">
        <v>912</v>
      </c>
      <c r="I197" s="14">
        <v>43695.0</v>
      </c>
      <c r="J197" s="17" t="str">
        <f t="shared" si="1"/>
        <v>$10 Sushi &amp; Burger Vs. $58 Sushi &amp; Burger</v>
      </c>
      <c r="K197" s="11" t="s">
        <v>30</v>
      </c>
      <c r="L197" s="11" t="str">
        <f>VLOOKUP(A197, Map!A:G,2)</f>
        <v>$5 Pizza Vs. $135 Pizza</v>
      </c>
      <c r="M197" s="11" t="s">
        <v>910</v>
      </c>
      <c r="N197" s="2" t="s">
        <v>341</v>
      </c>
      <c r="O197" s="2" t="s">
        <v>40</v>
      </c>
      <c r="P197" s="2"/>
      <c r="Q197" s="2"/>
      <c r="R197" s="2"/>
      <c r="S197" s="2"/>
      <c r="T197" s="2" t="s">
        <v>108</v>
      </c>
      <c r="U197" s="15"/>
    </row>
    <row r="198">
      <c r="A198" s="6" t="str">
        <f t="shared" ref="A198:A201" si="18">HYPERLINK("https://www.kingsgotsushi.com/","Kings Burger / Got Sushi?")</f>
        <v>Kings Burger / Got Sushi?</v>
      </c>
      <c r="B198" s="7" t="s">
        <v>907</v>
      </c>
      <c r="C198" s="2" t="s">
        <v>41</v>
      </c>
      <c r="D198" s="2">
        <v>6.0</v>
      </c>
      <c r="E198" s="2">
        <v>6.0</v>
      </c>
      <c r="F198" s="12">
        <v>4.09</v>
      </c>
      <c r="G198" s="2" t="s">
        <v>1161</v>
      </c>
      <c r="H198" s="13" t="s">
        <v>912</v>
      </c>
      <c r="I198" s="14">
        <v>43695.0</v>
      </c>
      <c r="J198" s="17" t="str">
        <f t="shared" si="1"/>
        <v>$10 Sushi &amp; Burger Vs. $58 Sushi &amp; Burger</v>
      </c>
      <c r="K198" s="11" t="s">
        <v>30</v>
      </c>
      <c r="L198" s="11" t="str">
        <f>VLOOKUP(A198, Map!A:G,2)</f>
        <v>$5 Pizza Vs. $135 Pizza</v>
      </c>
      <c r="M198" s="11" t="s">
        <v>917</v>
      </c>
      <c r="N198" s="2" t="s">
        <v>39</v>
      </c>
      <c r="O198" s="2" t="s">
        <v>40</v>
      </c>
      <c r="P198" s="2"/>
      <c r="Q198" s="2"/>
      <c r="R198" s="2"/>
      <c r="S198" s="2"/>
      <c r="T198" s="2" t="s">
        <v>51</v>
      </c>
      <c r="U198" s="2" t="s">
        <v>318</v>
      </c>
    </row>
    <row r="199">
      <c r="A199" s="6" t="str">
        <f t="shared" si="18"/>
        <v>Kings Burger / Got Sushi?</v>
      </c>
      <c r="B199" s="7" t="s">
        <v>907</v>
      </c>
      <c r="C199" s="2" t="s">
        <v>41</v>
      </c>
      <c r="D199" s="2">
        <v>6.0</v>
      </c>
      <c r="E199" s="2">
        <v>6.0</v>
      </c>
      <c r="F199" s="12">
        <v>5.5</v>
      </c>
      <c r="G199" s="2" t="s">
        <v>1165</v>
      </c>
      <c r="H199" s="13" t="s">
        <v>912</v>
      </c>
      <c r="I199" s="14">
        <v>43695.0</v>
      </c>
      <c r="J199" s="17" t="str">
        <f t="shared" si="1"/>
        <v>$10 Sushi &amp; Burger Vs. $58 Sushi &amp; Burger</v>
      </c>
      <c r="K199" s="11" t="s">
        <v>30</v>
      </c>
      <c r="L199" s="11" t="str">
        <f>VLOOKUP(A199, Map!A:G,2)</f>
        <v>$5 Pizza Vs. $135 Pizza</v>
      </c>
      <c r="M199" s="11" t="s">
        <v>917</v>
      </c>
      <c r="N199" s="2" t="s">
        <v>39</v>
      </c>
      <c r="O199" s="2" t="s">
        <v>40</v>
      </c>
      <c r="P199" s="2"/>
      <c r="Q199" s="2"/>
      <c r="R199" s="2"/>
      <c r="S199" s="2"/>
      <c r="T199" s="2" t="s">
        <v>51</v>
      </c>
      <c r="U199" s="15"/>
    </row>
    <row r="200">
      <c r="A200" s="6" t="str">
        <f t="shared" si="18"/>
        <v>Kings Burger / Got Sushi?</v>
      </c>
      <c r="B200" s="7" t="s">
        <v>907</v>
      </c>
      <c r="C200" s="2" t="s">
        <v>41</v>
      </c>
      <c r="D200" s="2">
        <v>6.0</v>
      </c>
      <c r="E200" s="2">
        <v>6.0</v>
      </c>
      <c r="F200" s="12">
        <v>8.49</v>
      </c>
      <c r="G200" s="2" t="s">
        <v>1167</v>
      </c>
      <c r="H200" s="13" t="s">
        <v>912</v>
      </c>
      <c r="I200" s="14">
        <v>43695.0</v>
      </c>
      <c r="J200" s="17" t="str">
        <f t="shared" si="1"/>
        <v>$10 Sushi &amp; Burger Vs. $58 Sushi &amp; Burger</v>
      </c>
      <c r="K200" s="11" t="s">
        <v>30</v>
      </c>
      <c r="L200" s="11" t="str">
        <f>VLOOKUP(A200, Map!A:G,2)</f>
        <v>$5 Pizza Vs. $135 Pizza</v>
      </c>
      <c r="M200" s="11" t="s">
        <v>917</v>
      </c>
      <c r="N200" s="2" t="s">
        <v>39</v>
      </c>
      <c r="O200" s="2" t="s">
        <v>40</v>
      </c>
      <c r="P200" s="2"/>
      <c r="Q200" s="2"/>
      <c r="R200" s="2"/>
      <c r="S200" s="2"/>
      <c r="T200" s="2" t="s">
        <v>51</v>
      </c>
      <c r="U200" s="2" t="s">
        <v>318</v>
      </c>
    </row>
    <row r="201">
      <c r="A201" s="6" t="str">
        <f t="shared" si="18"/>
        <v>Kings Burger / Got Sushi?</v>
      </c>
      <c r="B201" s="7" t="s">
        <v>907</v>
      </c>
      <c r="C201" s="2" t="s">
        <v>41</v>
      </c>
      <c r="D201" s="2">
        <v>6.0</v>
      </c>
      <c r="E201" s="2">
        <v>6.0</v>
      </c>
      <c r="F201" s="12">
        <v>12.0</v>
      </c>
      <c r="G201" s="2" t="s">
        <v>1172</v>
      </c>
      <c r="H201" s="13" t="s">
        <v>912</v>
      </c>
      <c r="I201" s="14">
        <v>43695.0</v>
      </c>
      <c r="J201" s="17" t="str">
        <f t="shared" si="1"/>
        <v>$10 Sushi &amp; Burger Vs. $58 Sushi &amp; Burger</v>
      </c>
      <c r="K201" s="11" t="s">
        <v>30</v>
      </c>
      <c r="L201" s="11" t="str">
        <f>VLOOKUP(A201, Map!A:G,2)</f>
        <v>$5 Pizza Vs. $135 Pizza</v>
      </c>
      <c r="M201" s="11" t="s">
        <v>917</v>
      </c>
      <c r="N201" s="2" t="s">
        <v>39</v>
      </c>
      <c r="O201" s="2" t="s">
        <v>40</v>
      </c>
      <c r="P201" s="2"/>
      <c r="Q201" s="2"/>
      <c r="R201" s="2"/>
      <c r="S201" s="2"/>
      <c r="T201" s="2" t="s">
        <v>51</v>
      </c>
      <c r="U201" s="15"/>
    </row>
    <row r="202">
      <c r="A202" s="6" t="str">
        <f t="shared" ref="A202:A203" si="19">HYPERLINK("http://www.ototo.la/","Ototo")</f>
        <v>Ototo</v>
      </c>
      <c r="B202" s="7" t="s">
        <v>907</v>
      </c>
      <c r="C202" s="2" t="s">
        <v>21</v>
      </c>
      <c r="D202" s="2">
        <v>6.0</v>
      </c>
      <c r="E202" s="2">
        <v>6.0</v>
      </c>
      <c r="F202" s="12">
        <v>14.0</v>
      </c>
      <c r="G202" s="2" t="s">
        <v>1178</v>
      </c>
      <c r="H202" s="13" t="s">
        <v>912</v>
      </c>
      <c r="I202" s="14">
        <v>43695.0</v>
      </c>
      <c r="J202" s="17" t="str">
        <f t="shared" si="1"/>
        <v>$10 Sushi &amp; Burger Vs. $58 Sushi &amp; Burger</v>
      </c>
      <c r="K202" s="11" t="s">
        <v>30</v>
      </c>
      <c r="L202" s="11" t="str">
        <f>VLOOKUP(A202, Map!A:G,2)</f>
        <v>$15 Spaghetti Vs. $143 Spaghetti</v>
      </c>
      <c r="M202" s="11" t="s">
        <v>1179</v>
      </c>
      <c r="N202" s="2" t="s">
        <v>39</v>
      </c>
      <c r="O202" s="2" t="s">
        <v>40</v>
      </c>
      <c r="P202" s="2"/>
      <c r="Q202" s="2"/>
      <c r="R202" s="2"/>
      <c r="S202" s="2"/>
      <c r="T202" s="2" t="s">
        <v>51</v>
      </c>
      <c r="U202" s="15"/>
    </row>
    <row r="203">
      <c r="A203" s="6" t="str">
        <f t="shared" si="19"/>
        <v>Ototo</v>
      </c>
      <c r="B203" s="7" t="s">
        <v>907</v>
      </c>
      <c r="C203" s="2" t="s">
        <v>21</v>
      </c>
      <c r="D203" s="2">
        <v>6.0</v>
      </c>
      <c r="E203" s="2">
        <v>6.0</v>
      </c>
      <c r="F203" s="12">
        <v>23.0</v>
      </c>
      <c r="G203" s="2" t="s">
        <v>1180</v>
      </c>
      <c r="H203" s="13" t="s">
        <v>912</v>
      </c>
      <c r="I203" s="14">
        <v>43695.0</v>
      </c>
      <c r="J203" s="17" t="str">
        <f t="shared" si="1"/>
        <v>$10 Sushi &amp; Burger Vs. $58 Sushi &amp; Burger</v>
      </c>
      <c r="K203" s="11" t="s">
        <v>30</v>
      </c>
      <c r="L203" s="11" t="str">
        <f>VLOOKUP(A203, Map!A:G,2)</f>
        <v>$15 Spaghetti Vs. $143 Spaghetti</v>
      </c>
      <c r="M203" s="11" t="s">
        <v>1179</v>
      </c>
      <c r="N203" s="2" t="s">
        <v>39</v>
      </c>
      <c r="O203" s="2" t="s">
        <v>40</v>
      </c>
      <c r="P203" s="2"/>
      <c r="Q203" s="2"/>
      <c r="R203" s="2"/>
      <c r="S203" s="2"/>
      <c r="T203" s="2" t="s">
        <v>51</v>
      </c>
      <c r="U203" s="15"/>
    </row>
    <row r="204">
      <c r="A204" s="16" t="s">
        <v>918</v>
      </c>
      <c r="B204" s="7" t="s">
        <v>920</v>
      </c>
      <c r="C204" s="2" t="s">
        <v>33</v>
      </c>
      <c r="D204" s="2">
        <v>7.0</v>
      </c>
      <c r="E204" s="2">
        <v>1.0</v>
      </c>
      <c r="F204" s="12">
        <v>7.0</v>
      </c>
      <c r="G204" s="2" t="s">
        <v>1182</v>
      </c>
      <c r="H204" s="13" t="s">
        <v>924</v>
      </c>
      <c r="I204" s="14">
        <v>43751.0</v>
      </c>
      <c r="J204" s="13" t="str">
        <f t="shared" si="1"/>
        <v>$0.50 Dumpling Vs. $29 Dumplings • Taiwan</v>
      </c>
      <c r="K204" s="2" t="s">
        <v>37</v>
      </c>
      <c r="L204" s="11" t="str">
        <f>VLOOKUP(A204, Map!A:G,2)</f>
        <v>$5 Pizza Vs. $135 Pizza</v>
      </c>
      <c r="M204" s="2" t="s">
        <v>923</v>
      </c>
      <c r="N204" s="37" t="s">
        <v>1186</v>
      </c>
      <c r="O204" s="34" t="s">
        <v>1187</v>
      </c>
      <c r="P204" s="15"/>
      <c r="Q204" s="15"/>
      <c r="R204" s="15"/>
      <c r="S204" s="15"/>
      <c r="T204" s="15"/>
      <c r="U204" s="15"/>
    </row>
    <row r="205">
      <c r="A205" s="16" t="s">
        <v>918</v>
      </c>
      <c r="B205" s="7" t="s">
        <v>920</v>
      </c>
      <c r="C205" s="2" t="s">
        <v>33</v>
      </c>
      <c r="D205" s="2">
        <v>7.0</v>
      </c>
      <c r="E205" s="2">
        <v>1.0</v>
      </c>
      <c r="F205" s="12">
        <v>29.0</v>
      </c>
      <c r="G205" s="2" t="s">
        <v>1188</v>
      </c>
      <c r="H205" s="13" t="s">
        <v>924</v>
      </c>
      <c r="I205" s="14">
        <v>43751.0</v>
      </c>
      <c r="J205" s="13" t="str">
        <f t="shared" si="1"/>
        <v>$0.50 Dumpling Vs. $29 Dumplings • Taiwan</v>
      </c>
      <c r="K205" s="2" t="s">
        <v>37</v>
      </c>
      <c r="L205" s="11" t="str">
        <f>VLOOKUP(A205, Map!A:G,2)</f>
        <v>$5 Pizza Vs. $135 Pizza</v>
      </c>
      <c r="M205" s="2" t="s">
        <v>923</v>
      </c>
      <c r="N205" s="37" t="s">
        <v>1186</v>
      </c>
      <c r="O205" s="34" t="s">
        <v>1187</v>
      </c>
      <c r="P205" s="2"/>
      <c r="Q205" s="2"/>
      <c r="R205" s="2"/>
      <c r="S205" s="2"/>
      <c r="T205" s="2" t="s">
        <v>51</v>
      </c>
      <c r="U205" s="15"/>
    </row>
    <row r="206">
      <c r="A206" s="16" t="s">
        <v>927</v>
      </c>
      <c r="B206" s="7" t="s">
        <v>920</v>
      </c>
      <c r="C206" s="2" t="s">
        <v>41</v>
      </c>
      <c r="D206" s="2">
        <v>7.0</v>
      </c>
      <c r="E206" s="2">
        <v>1.0</v>
      </c>
      <c r="F206" s="12">
        <v>0.5</v>
      </c>
      <c r="G206" s="2" t="s">
        <v>1190</v>
      </c>
      <c r="H206" s="13" t="s">
        <v>924</v>
      </c>
      <c r="I206" s="14">
        <v>43751.0</v>
      </c>
      <c r="J206" s="13" t="str">
        <f t="shared" si="1"/>
        <v>$0.50 Dumpling Vs. $29 Dumplings • Taiwan</v>
      </c>
      <c r="K206" s="11" t="s">
        <v>30</v>
      </c>
      <c r="L206" s="11" t="str">
        <f>VLOOKUP(A206, Map!A:G,2)</f>
        <v>$15 Spaghetti Vs. $143 Spaghetti</v>
      </c>
      <c r="M206" s="2" t="s">
        <v>930</v>
      </c>
      <c r="N206" s="37" t="s">
        <v>1186</v>
      </c>
      <c r="O206" s="34" t="s">
        <v>1187</v>
      </c>
      <c r="P206" s="2"/>
      <c r="Q206" s="2"/>
      <c r="R206" s="2"/>
      <c r="S206" s="2"/>
      <c r="T206" s="2" t="s">
        <v>158</v>
      </c>
      <c r="U206" s="2" t="s">
        <v>931</v>
      </c>
    </row>
    <row r="207">
      <c r="A207" s="33" t="s">
        <v>933</v>
      </c>
      <c r="B207" s="7" t="s">
        <v>920</v>
      </c>
      <c r="C207" s="2" t="s">
        <v>992</v>
      </c>
      <c r="D207" s="2">
        <v>7.0</v>
      </c>
      <c r="E207" s="2">
        <v>1.0</v>
      </c>
      <c r="F207" s="35"/>
      <c r="G207" s="2" t="s">
        <v>1196</v>
      </c>
      <c r="H207" s="13" t="s">
        <v>924</v>
      </c>
      <c r="I207" s="14">
        <v>43751.0</v>
      </c>
      <c r="J207" s="13" t="str">
        <f t="shared" si="1"/>
        <v>$0.50 Dumpling Vs. $29 Dumplings • Taiwan</v>
      </c>
      <c r="K207" s="11" t="s">
        <v>30</v>
      </c>
      <c r="L207" s="11" t="str">
        <f>VLOOKUP(A207, Map!A:G,2)</f>
        <v/>
      </c>
      <c r="M207" s="34" t="s">
        <v>937</v>
      </c>
      <c r="N207" s="37" t="s">
        <v>1186</v>
      </c>
      <c r="O207" s="34" t="s">
        <v>1187</v>
      </c>
      <c r="P207" s="15"/>
      <c r="Q207" s="15"/>
      <c r="R207" s="15"/>
      <c r="S207" s="15"/>
      <c r="T207" s="15"/>
      <c r="U207" s="15"/>
    </row>
    <row r="208">
      <c r="A208" s="16" t="s">
        <v>938</v>
      </c>
      <c r="B208" s="7" t="s">
        <v>920</v>
      </c>
      <c r="C208" s="2" t="s">
        <v>992</v>
      </c>
      <c r="D208" s="2">
        <v>7.0</v>
      </c>
      <c r="E208" s="2">
        <v>1.0</v>
      </c>
      <c r="F208" s="12" t="s">
        <v>992</v>
      </c>
      <c r="G208" s="2" t="s">
        <v>1202</v>
      </c>
      <c r="H208" s="13" t="s">
        <v>924</v>
      </c>
      <c r="I208" s="14">
        <v>43751.0</v>
      </c>
      <c r="J208" s="13" t="str">
        <f t="shared" si="1"/>
        <v>$0.50 Dumpling Vs. $29 Dumplings • Taiwan</v>
      </c>
      <c r="K208" s="11" t="s">
        <v>30</v>
      </c>
      <c r="L208" s="11" t="str">
        <f>VLOOKUP(A208, Map!A:G,2)</f>
        <v/>
      </c>
      <c r="M208" s="2" t="s">
        <v>942</v>
      </c>
      <c r="N208" s="37" t="s">
        <v>1186</v>
      </c>
      <c r="O208" s="34" t="s">
        <v>1187</v>
      </c>
      <c r="P208" s="2"/>
      <c r="Q208" s="2"/>
      <c r="R208" s="2"/>
      <c r="S208" s="2"/>
      <c r="T208" s="2" t="s">
        <v>992</v>
      </c>
      <c r="U208" s="15"/>
    </row>
    <row r="209">
      <c r="A209" s="16" t="s">
        <v>943</v>
      </c>
      <c r="B209" s="7" t="s">
        <v>920</v>
      </c>
      <c r="C209" s="2" t="s">
        <v>992</v>
      </c>
      <c r="D209" s="2">
        <v>7.0</v>
      </c>
      <c r="E209" s="2">
        <v>1.0</v>
      </c>
      <c r="F209" s="12" t="s">
        <v>992</v>
      </c>
      <c r="G209" s="2" t="s">
        <v>1208</v>
      </c>
      <c r="H209" s="13" t="s">
        <v>924</v>
      </c>
      <c r="I209" s="14">
        <v>43751.0</v>
      </c>
      <c r="J209" s="13" t="str">
        <f t="shared" si="1"/>
        <v>$0.50 Dumpling Vs. $29 Dumplings • Taiwan</v>
      </c>
      <c r="K209" s="11" t="s">
        <v>30</v>
      </c>
      <c r="L209" s="11" t="str">
        <f>VLOOKUP(A209, Map!A:G,2)</f>
        <v/>
      </c>
      <c r="M209" s="2" t="s">
        <v>947</v>
      </c>
      <c r="N209" s="37" t="s">
        <v>1186</v>
      </c>
      <c r="O209" s="34" t="s">
        <v>1187</v>
      </c>
      <c r="P209" s="2"/>
      <c r="Q209" s="2"/>
      <c r="R209" s="2"/>
      <c r="S209" s="2"/>
      <c r="T209" s="2" t="s">
        <v>992</v>
      </c>
      <c r="U209" s="15"/>
    </row>
    <row r="210">
      <c r="A210" s="16" t="s">
        <v>948</v>
      </c>
      <c r="B210" s="7" t="s">
        <v>920</v>
      </c>
      <c r="C210" s="2" t="s">
        <v>21</v>
      </c>
      <c r="D210" s="2">
        <v>7.0</v>
      </c>
      <c r="E210" s="2">
        <v>1.0</v>
      </c>
      <c r="F210" s="12">
        <v>3.0</v>
      </c>
      <c r="G210" s="2" t="s">
        <v>1214</v>
      </c>
      <c r="H210" s="13" t="s">
        <v>924</v>
      </c>
      <c r="I210" s="14">
        <v>43751.0</v>
      </c>
      <c r="J210" s="13" t="str">
        <f t="shared" si="1"/>
        <v>$0.50 Dumpling Vs. $29 Dumplings • Taiwan</v>
      </c>
      <c r="K210" s="11" t="s">
        <v>30</v>
      </c>
      <c r="L210" s="11" t="str">
        <f>VLOOKUP(A210, Map!A:G,2)</f>
        <v/>
      </c>
      <c r="M210" s="2" t="s">
        <v>953</v>
      </c>
      <c r="N210" s="37" t="s">
        <v>1186</v>
      </c>
      <c r="O210" s="34" t="s">
        <v>1187</v>
      </c>
      <c r="P210" s="2"/>
      <c r="Q210" s="2"/>
      <c r="R210" s="2"/>
      <c r="S210" s="2"/>
      <c r="T210" s="2" t="s">
        <v>51</v>
      </c>
      <c r="U210" s="2" t="s">
        <v>1221</v>
      </c>
    </row>
    <row r="211">
      <c r="A211" s="16" t="s">
        <v>955</v>
      </c>
      <c r="B211" s="7" t="s">
        <v>957</v>
      </c>
      <c r="C211" s="2" t="s">
        <v>21</v>
      </c>
      <c r="D211" s="2">
        <v>7.0</v>
      </c>
      <c r="E211" s="2">
        <v>2.0</v>
      </c>
      <c r="F211" s="12">
        <v>13.0</v>
      </c>
      <c r="G211" s="2" t="s">
        <v>1225</v>
      </c>
      <c r="H211" s="13" t="s">
        <v>961</v>
      </c>
      <c r="I211" s="14">
        <v>43758.0</v>
      </c>
      <c r="J211" s="13" t="str">
        <f t="shared" si="1"/>
        <v>$3.50 Soup Vs. $29 Soup • Taiwan</v>
      </c>
      <c r="K211" s="11" t="s">
        <v>30</v>
      </c>
      <c r="L211" s="11" t="str">
        <f>VLOOKUP(A211, Map!A:G,2)</f>
        <v>#N/A</v>
      </c>
      <c r="M211" s="2" t="s">
        <v>960</v>
      </c>
      <c r="N211" s="37" t="s">
        <v>1227</v>
      </c>
      <c r="O211" s="34" t="s">
        <v>1187</v>
      </c>
      <c r="P211" s="15"/>
      <c r="Q211" s="15"/>
      <c r="R211" s="15"/>
      <c r="S211" s="15"/>
      <c r="T211" s="15"/>
      <c r="U211" s="2" t="s">
        <v>965</v>
      </c>
    </row>
    <row r="212">
      <c r="A212" s="16" t="s">
        <v>966</v>
      </c>
      <c r="B212" s="7" t="s">
        <v>957</v>
      </c>
      <c r="C212" s="2" t="s">
        <v>992</v>
      </c>
      <c r="D212" s="2">
        <v>7.0</v>
      </c>
      <c r="E212" s="2">
        <v>2.0</v>
      </c>
      <c r="F212" s="12" t="s">
        <v>992</v>
      </c>
      <c r="G212" s="2" t="s">
        <v>1232</v>
      </c>
      <c r="H212" s="13" t="s">
        <v>961</v>
      </c>
      <c r="I212" s="14">
        <v>43758.0</v>
      </c>
      <c r="J212" s="13" t="str">
        <f t="shared" si="1"/>
        <v>$3.50 Soup Vs. $29 Soup • Taiwan</v>
      </c>
      <c r="K212" s="2" t="s">
        <v>37</v>
      </c>
      <c r="L212" s="11" t="str">
        <f>VLOOKUP(A212, Map!A:G,2)</f>
        <v>$5 Pizza Vs. $135 Pizza</v>
      </c>
      <c r="M212" s="2" t="s">
        <v>970</v>
      </c>
      <c r="N212" s="37" t="s">
        <v>1233</v>
      </c>
      <c r="O212" s="34" t="s">
        <v>1187</v>
      </c>
      <c r="P212" s="2"/>
      <c r="Q212" s="2"/>
      <c r="R212" s="2"/>
      <c r="S212" s="2"/>
      <c r="T212" s="2" t="s">
        <v>992</v>
      </c>
      <c r="U212" s="2" t="s">
        <v>971</v>
      </c>
    </row>
    <row r="213">
      <c r="A213" s="16" t="s">
        <v>1234</v>
      </c>
      <c r="B213" s="7" t="s">
        <v>957</v>
      </c>
      <c r="C213" s="2" t="s">
        <v>992</v>
      </c>
      <c r="D213" s="2">
        <v>7.0</v>
      </c>
      <c r="E213" s="2">
        <v>2.0</v>
      </c>
      <c r="F213" s="12" t="s">
        <v>992</v>
      </c>
      <c r="G213" s="2" t="s">
        <v>1236</v>
      </c>
      <c r="H213" s="13" t="s">
        <v>961</v>
      </c>
      <c r="I213" s="14">
        <v>43758.0</v>
      </c>
      <c r="J213" s="13" t="str">
        <f t="shared" si="1"/>
        <v>$3.50 Soup Vs. $29 Soup • Taiwan</v>
      </c>
      <c r="K213" s="11" t="s">
        <v>30</v>
      </c>
      <c r="L213" s="11" t="str">
        <f>VLOOKUP(A213, Map!A:G,2)</f>
        <v>$5 Pizza Vs. $135 Pizza</v>
      </c>
      <c r="M213" s="2" t="s">
        <v>1241</v>
      </c>
      <c r="N213" s="37" t="s">
        <v>1227</v>
      </c>
      <c r="O213" s="34" t="s">
        <v>1187</v>
      </c>
      <c r="P213" s="2"/>
      <c r="Q213" s="2"/>
      <c r="R213" s="2"/>
      <c r="S213" s="2"/>
      <c r="T213" s="2" t="s">
        <v>992</v>
      </c>
      <c r="U213" s="15"/>
    </row>
    <row r="214">
      <c r="A214" s="16" t="s">
        <v>972</v>
      </c>
      <c r="B214" s="7" t="s">
        <v>957</v>
      </c>
      <c r="C214" s="2" t="s">
        <v>33</v>
      </c>
      <c r="D214" s="2">
        <v>7.0</v>
      </c>
      <c r="E214" s="2">
        <v>2.0</v>
      </c>
      <c r="F214" s="12">
        <v>29.0</v>
      </c>
      <c r="G214" s="2" t="s">
        <v>1242</v>
      </c>
      <c r="H214" s="13" t="s">
        <v>961</v>
      </c>
      <c r="I214" s="14">
        <v>43758.0</v>
      </c>
      <c r="J214" s="13" t="str">
        <f t="shared" si="1"/>
        <v>$3.50 Soup Vs. $29 Soup • Taiwan</v>
      </c>
      <c r="K214" s="11" t="s">
        <v>30</v>
      </c>
      <c r="L214" s="11" t="str">
        <f>VLOOKUP(A214, Map!A:G,2)</f>
        <v>$5 Pizza Vs. $135 Pizza</v>
      </c>
      <c r="M214" s="2" t="s">
        <v>976</v>
      </c>
      <c r="N214" s="37" t="s">
        <v>1233</v>
      </c>
      <c r="O214" s="34" t="s">
        <v>1187</v>
      </c>
      <c r="P214" s="2"/>
      <c r="Q214" s="2"/>
      <c r="R214" s="2"/>
      <c r="S214" s="2"/>
      <c r="T214" s="2" t="s">
        <v>669</v>
      </c>
      <c r="U214" s="2" t="s">
        <v>978</v>
      </c>
    </row>
    <row r="215">
      <c r="A215" s="16" t="s">
        <v>979</v>
      </c>
      <c r="B215" s="7" t="s">
        <v>957</v>
      </c>
      <c r="C215" s="2" t="s">
        <v>41</v>
      </c>
      <c r="D215" s="2">
        <v>7.0</v>
      </c>
      <c r="E215" s="2">
        <v>2.0</v>
      </c>
      <c r="F215" s="12">
        <v>3.5</v>
      </c>
      <c r="G215" s="2" t="s">
        <v>1248</v>
      </c>
      <c r="H215" s="13" t="s">
        <v>961</v>
      </c>
      <c r="I215" s="14">
        <v>43758.0</v>
      </c>
      <c r="J215" s="13" t="str">
        <f t="shared" si="1"/>
        <v>$3.50 Soup Vs. $29 Soup • Taiwan</v>
      </c>
      <c r="K215" s="11" t="s">
        <v>30</v>
      </c>
      <c r="L215" s="11" t="str">
        <f>VLOOKUP(A215, Map!A:G,2)</f>
        <v/>
      </c>
      <c r="M215" s="2" t="s">
        <v>983</v>
      </c>
      <c r="N215" s="37" t="s">
        <v>1252</v>
      </c>
      <c r="O215" s="34" t="s">
        <v>1187</v>
      </c>
      <c r="P215" s="2"/>
      <c r="Q215" s="2"/>
      <c r="R215" s="2"/>
      <c r="S215" s="2"/>
      <c r="T215" s="2" t="s">
        <v>51</v>
      </c>
      <c r="U215" s="2" t="s">
        <v>984</v>
      </c>
    </row>
    <row r="216">
      <c r="A216" s="16" t="s">
        <v>985</v>
      </c>
      <c r="B216" s="7" t="s">
        <v>987</v>
      </c>
      <c r="C216" s="15"/>
      <c r="D216" s="2">
        <v>7.0</v>
      </c>
      <c r="E216" s="2">
        <v>3.0</v>
      </c>
      <c r="F216" s="12">
        <v>1.0</v>
      </c>
      <c r="G216" s="2" t="s">
        <v>1256</v>
      </c>
      <c r="H216" s="13" t="s">
        <v>991</v>
      </c>
      <c r="I216" s="14">
        <v>43765.0</v>
      </c>
      <c r="J216" s="13" t="str">
        <f t="shared" si="1"/>
        <v>$3 Chicken Vs. $62 Chicken • Taiwan</v>
      </c>
      <c r="K216" s="11" t="s">
        <v>30</v>
      </c>
      <c r="L216" s="11" t="str">
        <f>VLOOKUP(A216, Map!A:G,2)</f>
        <v>$5 Pizza Vs. $135 Pizza</v>
      </c>
      <c r="M216" s="2" t="s">
        <v>990</v>
      </c>
      <c r="N216" s="37" t="s">
        <v>1186</v>
      </c>
      <c r="O216" s="34" t="s">
        <v>1187</v>
      </c>
      <c r="P216" s="2"/>
      <c r="Q216" s="2"/>
      <c r="R216" s="2"/>
      <c r="S216" s="2"/>
      <c r="T216" s="2" t="s">
        <v>992</v>
      </c>
      <c r="U216" s="15"/>
    </row>
    <row r="217">
      <c r="A217" s="16" t="s">
        <v>985</v>
      </c>
      <c r="B217" s="7" t="s">
        <v>987</v>
      </c>
      <c r="C217" s="2" t="s">
        <v>21</v>
      </c>
      <c r="D217" s="2">
        <v>7.0</v>
      </c>
      <c r="E217" s="2">
        <v>3.0</v>
      </c>
      <c r="F217" s="12">
        <v>1.8</v>
      </c>
      <c r="G217" s="2" t="s">
        <v>1262</v>
      </c>
      <c r="H217" s="13" t="s">
        <v>991</v>
      </c>
      <c r="I217" s="14">
        <v>43765.0</v>
      </c>
      <c r="J217" s="13" t="str">
        <f t="shared" si="1"/>
        <v>$3 Chicken Vs. $62 Chicken • Taiwan</v>
      </c>
      <c r="K217" s="11" t="s">
        <v>30</v>
      </c>
      <c r="L217" s="11" t="str">
        <f>VLOOKUP(A217, Map!A:G,2)</f>
        <v>$5 Pizza Vs. $135 Pizza</v>
      </c>
      <c r="M217" s="2" t="s">
        <v>990</v>
      </c>
      <c r="N217" s="37" t="s">
        <v>1186</v>
      </c>
      <c r="O217" s="34" t="s">
        <v>1187</v>
      </c>
      <c r="P217" s="2"/>
      <c r="Q217" s="2"/>
      <c r="R217" s="2"/>
      <c r="S217" s="2"/>
      <c r="T217" s="2" t="s">
        <v>1263</v>
      </c>
      <c r="U217" s="15"/>
    </row>
    <row r="218">
      <c r="A218" s="16" t="s">
        <v>985</v>
      </c>
      <c r="B218" s="7" t="s">
        <v>987</v>
      </c>
      <c r="C218" s="15"/>
      <c r="D218" s="2">
        <v>7.0</v>
      </c>
      <c r="E218" s="2">
        <v>3.0</v>
      </c>
      <c r="F218" s="12">
        <v>3.0</v>
      </c>
      <c r="G218" s="2" t="s">
        <v>1267</v>
      </c>
      <c r="H218" s="13" t="s">
        <v>991</v>
      </c>
      <c r="I218" s="14">
        <v>43765.0</v>
      </c>
      <c r="J218" s="13" t="str">
        <f t="shared" si="1"/>
        <v>$3 Chicken Vs. $62 Chicken • Taiwan</v>
      </c>
      <c r="K218" s="11" t="s">
        <v>30</v>
      </c>
      <c r="L218" s="11" t="str">
        <f>VLOOKUP(A218, Map!A:G,2)</f>
        <v>$5 Pizza Vs. $135 Pizza</v>
      </c>
      <c r="M218" s="2" t="s">
        <v>990</v>
      </c>
      <c r="N218" s="37" t="s">
        <v>1186</v>
      </c>
      <c r="O218" s="34" t="s">
        <v>1187</v>
      </c>
      <c r="P218" s="2"/>
      <c r="Q218" s="2"/>
      <c r="R218" s="2"/>
      <c r="S218" s="2"/>
      <c r="T218" s="2" t="s">
        <v>992</v>
      </c>
      <c r="U218" s="15"/>
    </row>
    <row r="219">
      <c r="A219" s="16" t="s">
        <v>985</v>
      </c>
      <c r="B219" s="7" t="s">
        <v>987</v>
      </c>
      <c r="C219" s="15"/>
      <c r="D219" s="2">
        <v>7.0</v>
      </c>
      <c r="E219" s="2">
        <v>3.0</v>
      </c>
      <c r="F219" s="12">
        <v>21.0</v>
      </c>
      <c r="G219" s="2" t="s">
        <v>1274</v>
      </c>
      <c r="H219" s="13" t="s">
        <v>991</v>
      </c>
      <c r="I219" s="14">
        <v>43765.0</v>
      </c>
      <c r="J219" s="13" t="str">
        <f t="shared" si="1"/>
        <v>$3 Chicken Vs. $62 Chicken • Taiwan</v>
      </c>
      <c r="K219" s="11" t="s">
        <v>30</v>
      </c>
      <c r="L219" s="11" t="str">
        <f>VLOOKUP(A219, Map!A:G,2)</f>
        <v>$5 Pizza Vs. $135 Pizza</v>
      </c>
      <c r="M219" s="2" t="s">
        <v>990</v>
      </c>
      <c r="N219" s="37" t="s">
        <v>1186</v>
      </c>
      <c r="O219" s="34" t="s">
        <v>1187</v>
      </c>
      <c r="P219" s="2"/>
      <c r="Q219" s="2"/>
      <c r="R219" s="2"/>
      <c r="S219" s="2"/>
      <c r="T219" s="2" t="s">
        <v>992</v>
      </c>
      <c r="U219" s="15"/>
    </row>
    <row r="220">
      <c r="A220" s="16" t="s">
        <v>1234</v>
      </c>
      <c r="B220" s="7" t="s">
        <v>987</v>
      </c>
      <c r="C220" s="2" t="s">
        <v>992</v>
      </c>
      <c r="D220" s="2">
        <v>7.0</v>
      </c>
      <c r="E220" s="2">
        <v>3.0</v>
      </c>
      <c r="F220" s="12" t="s">
        <v>992</v>
      </c>
      <c r="G220" s="2" t="s">
        <v>1276</v>
      </c>
      <c r="H220" s="13" t="s">
        <v>991</v>
      </c>
      <c r="I220" s="14">
        <v>43765.0</v>
      </c>
      <c r="J220" s="13" t="str">
        <f t="shared" si="1"/>
        <v>$3 Chicken Vs. $62 Chicken • Taiwan</v>
      </c>
      <c r="K220" s="11" t="s">
        <v>30</v>
      </c>
      <c r="L220" s="11" t="str">
        <f>VLOOKUP(A220, Map!A:G,2)</f>
        <v>$5 Pizza Vs. $135 Pizza</v>
      </c>
      <c r="M220" s="2" t="s">
        <v>1241</v>
      </c>
      <c r="N220" s="37" t="s">
        <v>1227</v>
      </c>
      <c r="O220" s="34" t="s">
        <v>1187</v>
      </c>
      <c r="P220" s="2"/>
      <c r="Q220" s="2"/>
      <c r="R220" s="2"/>
      <c r="S220" s="2"/>
      <c r="T220" s="2" t="s">
        <v>992</v>
      </c>
      <c r="U220" s="15"/>
    </row>
    <row r="221">
      <c r="A221" s="33" t="s">
        <v>994</v>
      </c>
      <c r="B221" s="7" t="s">
        <v>987</v>
      </c>
      <c r="C221" s="15"/>
      <c r="D221" s="2">
        <v>7.0</v>
      </c>
      <c r="E221" s="2">
        <v>3.0</v>
      </c>
      <c r="F221" s="12" t="s">
        <v>992</v>
      </c>
      <c r="G221" s="2" t="s">
        <v>1281</v>
      </c>
      <c r="H221" s="13" t="s">
        <v>991</v>
      </c>
      <c r="I221" s="14">
        <v>43765.0</v>
      </c>
      <c r="J221" s="13" t="str">
        <f t="shared" si="1"/>
        <v>$3 Chicken Vs. $62 Chicken • Taiwan</v>
      </c>
      <c r="K221" s="11" t="s">
        <v>30</v>
      </c>
      <c r="L221" s="11" t="str">
        <f>VLOOKUP(A221, Map!A:G,2)</f>
        <v/>
      </c>
      <c r="M221" s="2" t="s">
        <v>998</v>
      </c>
      <c r="N221" s="37" t="s">
        <v>1186</v>
      </c>
      <c r="O221" s="34" t="s">
        <v>1187</v>
      </c>
      <c r="P221" s="2"/>
      <c r="Q221" s="2"/>
      <c r="R221" s="2"/>
      <c r="S221" s="2"/>
      <c r="T221" s="2" t="s">
        <v>992</v>
      </c>
      <c r="U221" s="2" t="s">
        <v>999</v>
      </c>
    </row>
    <row r="222">
      <c r="A222" s="16" t="s">
        <v>1000</v>
      </c>
      <c r="B222" s="7" t="s">
        <v>987</v>
      </c>
      <c r="C222" s="2" t="s">
        <v>41</v>
      </c>
      <c r="D222" s="2">
        <v>7.0</v>
      </c>
      <c r="E222" s="2">
        <v>3.0</v>
      </c>
      <c r="F222" s="12">
        <v>3.3</v>
      </c>
      <c r="G222" s="2" t="s">
        <v>1283</v>
      </c>
      <c r="H222" s="13" t="s">
        <v>991</v>
      </c>
      <c r="I222" s="14">
        <v>43765.0</v>
      </c>
      <c r="J222" s="13" t="str">
        <f t="shared" si="1"/>
        <v>$3 Chicken Vs. $62 Chicken • Taiwan</v>
      </c>
      <c r="K222" s="11" t="s">
        <v>30</v>
      </c>
      <c r="L222" s="11" t="str">
        <f>VLOOKUP(A222, Map!A:G,2)</f>
        <v/>
      </c>
      <c r="M222" s="2" t="s">
        <v>1004</v>
      </c>
      <c r="N222" s="37" t="s">
        <v>1227</v>
      </c>
      <c r="O222" s="34" t="s">
        <v>1187</v>
      </c>
      <c r="P222" s="2"/>
      <c r="Q222" s="2"/>
      <c r="R222" s="2"/>
      <c r="S222" s="2"/>
      <c r="T222" s="2" t="s">
        <v>1288</v>
      </c>
      <c r="U222" s="15"/>
    </row>
    <row r="223">
      <c r="A223" s="16" t="s">
        <v>1005</v>
      </c>
      <c r="B223" s="7" t="s">
        <v>987</v>
      </c>
      <c r="C223" s="2" t="s">
        <v>33</v>
      </c>
      <c r="D223" s="2">
        <v>7.0</v>
      </c>
      <c r="E223" s="2">
        <v>3.0</v>
      </c>
      <c r="F223" s="12">
        <v>62.0</v>
      </c>
      <c r="G223" s="2" t="s">
        <v>1289</v>
      </c>
      <c r="H223" s="13" t="s">
        <v>991</v>
      </c>
      <c r="I223" s="14">
        <v>43765.0</v>
      </c>
      <c r="J223" s="13" t="str">
        <f t="shared" si="1"/>
        <v>$3 Chicken Vs. $62 Chicken • Taiwan</v>
      </c>
      <c r="K223" s="11" t="s">
        <v>30</v>
      </c>
      <c r="L223" s="11" t="str">
        <f>VLOOKUP(A223, Map!A:G,2)</f>
        <v/>
      </c>
      <c r="M223" s="2" t="s">
        <v>1009</v>
      </c>
      <c r="N223" s="37" t="s">
        <v>1233</v>
      </c>
      <c r="O223" s="34" t="s">
        <v>1187</v>
      </c>
      <c r="P223" s="2"/>
      <c r="Q223" s="2"/>
      <c r="R223" s="2"/>
      <c r="S223" s="2"/>
      <c r="T223" s="2" t="s">
        <v>51</v>
      </c>
      <c r="U223" s="2" t="s">
        <v>1010</v>
      </c>
    </row>
    <row r="224">
      <c r="A224" s="16" t="s">
        <v>1011</v>
      </c>
      <c r="B224" s="7" t="s">
        <v>987</v>
      </c>
      <c r="C224" s="15"/>
      <c r="D224" s="2">
        <v>7.0</v>
      </c>
      <c r="E224" s="2">
        <v>3.0</v>
      </c>
      <c r="F224" s="12" t="s">
        <v>992</v>
      </c>
      <c r="G224" s="2" t="s">
        <v>1291</v>
      </c>
      <c r="H224" s="13" t="s">
        <v>991</v>
      </c>
      <c r="I224" s="14">
        <v>43765.0</v>
      </c>
      <c r="J224" s="13" t="str">
        <f t="shared" si="1"/>
        <v>$3 Chicken Vs. $62 Chicken • Taiwan</v>
      </c>
      <c r="K224" s="11" t="s">
        <v>30</v>
      </c>
      <c r="L224" s="11" t="str">
        <f>VLOOKUP(A224, Map!A:G,2)</f>
        <v/>
      </c>
      <c r="M224" s="2" t="s">
        <v>1017</v>
      </c>
      <c r="N224" s="37" t="s">
        <v>1293</v>
      </c>
      <c r="O224" s="34" t="s">
        <v>1187</v>
      </c>
      <c r="P224" s="2"/>
      <c r="Q224" s="2"/>
      <c r="R224" s="2"/>
      <c r="S224" s="2"/>
      <c r="T224" s="2" t="s">
        <v>992</v>
      </c>
      <c r="U224" s="2" t="s">
        <v>1018</v>
      </c>
    </row>
    <row r="225">
      <c r="A225" s="16" t="s">
        <v>1019</v>
      </c>
      <c r="B225" s="7" t="s">
        <v>1021</v>
      </c>
      <c r="C225" s="2" t="s">
        <v>21</v>
      </c>
      <c r="D225" s="2">
        <v>7.0</v>
      </c>
      <c r="E225" s="2">
        <v>4.0</v>
      </c>
      <c r="F225" s="12">
        <v>10.95</v>
      </c>
      <c r="G225" s="2" t="s">
        <v>1298</v>
      </c>
      <c r="H225" s="13" t="s">
        <v>1026</v>
      </c>
      <c r="I225" s="14">
        <v>43807.0</v>
      </c>
      <c r="J225" s="13" t="str">
        <f t="shared" si="1"/>
        <v>$7 Double Cheeseburger Vs. $25 Double Cheeseburger</v>
      </c>
      <c r="K225" s="2" t="s">
        <v>37</v>
      </c>
      <c r="L225" s="11" t="str">
        <f>VLOOKUP(A225, Map!A:G,2)</f>
        <v>$5 Pizza Vs. $135 Pizza</v>
      </c>
      <c r="M225" s="2" t="s">
        <v>1025</v>
      </c>
      <c r="N225" s="2" t="s">
        <v>39</v>
      </c>
      <c r="O225" s="2" t="s">
        <v>40</v>
      </c>
      <c r="P225" s="15"/>
      <c r="Q225" s="15"/>
      <c r="R225" s="2">
        <v>1.0</v>
      </c>
      <c r="S225" s="2">
        <v>1.0</v>
      </c>
      <c r="T225" s="15"/>
      <c r="U225" s="2" t="s">
        <v>1028</v>
      </c>
    </row>
    <row r="226">
      <c r="A226" s="16" t="s">
        <v>1029</v>
      </c>
      <c r="B226" s="7" t="s">
        <v>1021</v>
      </c>
      <c r="C226" s="2" t="s">
        <v>41</v>
      </c>
      <c r="D226" s="2">
        <v>7.0</v>
      </c>
      <c r="E226" s="2">
        <v>4.0</v>
      </c>
      <c r="F226" s="12">
        <v>7.35</v>
      </c>
      <c r="G226" s="2" t="s">
        <v>1304</v>
      </c>
      <c r="H226" s="13" t="s">
        <v>1026</v>
      </c>
      <c r="I226" s="14">
        <v>43807.0</v>
      </c>
      <c r="J226" s="13" t="str">
        <f t="shared" si="1"/>
        <v>$7 Double Cheeseburger Vs. $25 Double Cheeseburger</v>
      </c>
      <c r="K226" s="11" t="s">
        <v>30</v>
      </c>
      <c r="L226" s="11" t="str">
        <f>VLOOKUP(A226, Map!A:G,2)</f>
        <v>$5 Pizza Vs. $135 Pizza</v>
      </c>
      <c r="M226" s="2" t="s">
        <v>1033</v>
      </c>
      <c r="N226" s="2" t="s">
        <v>39</v>
      </c>
      <c r="O226" s="2" t="s">
        <v>40</v>
      </c>
      <c r="P226" s="2">
        <v>1.0</v>
      </c>
      <c r="Q226" s="15"/>
      <c r="R226" s="15"/>
      <c r="S226" s="2">
        <v>1.0</v>
      </c>
      <c r="T226" s="15"/>
      <c r="U226" s="2" t="s">
        <v>1034</v>
      </c>
    </row>
    <row r="227">
      <c r="A227" s="16" t="s">
        <v>1035</v>
      </c>
      <c r="B227" s="7" t="s">
        <v>1021</v>
      </c>
      <c r="C227" s="2" t="s">
        <v>33</v>
      </c>
      <c r="D227" s="2">
        <v>7.0</v>
      </c>
      <c r="E227" s="2">
        <v>4.0</v>
      </c>
      <c r="F227" s="12">
        <v>25.0</v>
      </c>
      <c r="G227" s="2" t="s">
        <v>1312</v>
      </c>
      <c r="H227" s="13" t="s">
        <v>1026</v>
      </c>
      <c r="I227" s="14">
        <v>43807.0</v>
      </c>
      <c r="J227" s="13" t="str">
        <f t="shared" si="1"/>
        <v>$7 Double Cheeseburger Vs. $25 Double Cheeseburger</v>
      </c>
      <c r="K227" s="2" t="s">
        <v>37</v>
      </c>
      <c r="L227" s="11" t="str">
        <f>VLOOKUP(A227, Map!A:G,2)</f>
        <v>$15 Spaghetti Vs. $143 Spaghetti</v>
      </c>
      <c r="M227" s="2" t="s">
        <v>1038</v>
      </c>
      <c r="N227" s="2" t="s">
        <v>39</v>
      </c>
      <c r="O227" s="2" t="s">
        <v>40</v>
      </c>
      <c r="P227" s="15"/>
      <c r="Q227" s="2">
        <v>1.0</v>
      </c>
      <c r="R227" s="15"/>
      <c r="S227" s="15"/>
      <c r="T227" s="15"/>
      <c r="U227" s="2" t="s">
        <v>1012</v>
      </c>
    </row>
    <row r="228">
      <c r="A228" s="16" t="s">
        <v>1040</v>
      </c>
      <c r="B228" s="7" t="s">
        <v>1021</v>
      </c>
      <c r="C228" s="2" t="s">
        <v>645</v>
      </c>
      <c r="D228" s="2">
        <v>7.0</v>
      </c>
      <c r="E228" s="2">
        <v>4.0</v>
      </c>
      <c r="F228" s="35"/>
      <c r="G228" s="2" t="s">
        <v>1328</v>
      </c>
      <c r="H228" s="13" t="s">
        <v>1026</v>
      </c>
      <c r="I228" s="14">
        <v>43807.0</v>
      </c>
      <c r="J228" s="13" t="str">
        <f t="shared" si="1"/>
        <v>$7 Double Cheeseburger Vs. $25 Double Cheeseburger</v>
      </c>
      <c r="K228" s="11" t="s">
        <v>30</v>
      </c>
      <c r="L228" s="11" t="str">
        <f>VLOOKUP(A228, Map!A:G,2)</f>
        <v/>
      </c>
      <c r="M228" s="2" t="s">
        <v>1044</v>
      </c>
      <c r="N228" s="2" t="s">
        <v>39</v>
      </c>
      <c r="O228" s="2" t="s">
        <v>40</v>
      </c>
      <c r="P228" s="15"/>
      <c r="Q228" s="15"/>
      <c r="R228" s="15"/>
      <c r="S228" s="15"/>
      <c r="T228" s="15"/>
      <c r="U228" s="2" t="s">
        <v>1046</v>
      </c>
    </row>
    <row r="229">
      <c r="A229" s="16" t="s">
        <v>1047</v>
      </c>
      <c r="B229" s="7" t="s">
        <v>1049</v>
      </c>
      <c r="C229" s="2" t="s">
        <v>992</v>
      </c>
      <c r="D229" s="2">
        <v>7.0</v>
      </c>
      <c r="E229" s="2">
        <v>5.0</v>
      </c>
      <c r="F229" s="35"/>
      <c r="G229" s="2" t="s">
        <v>1343</v>
      </c>
      <c r="H229" s="13" t="s">
        <v>1053</v>
      </c>
      <c r="I229" s="14">
        <v>43814.0</v>
      </c>
      <c r="J229" s="13" t="str">
        <f t="shared" si="1"/>
        <v>$10 Noodles Vs. $94 Noodles</v>
      </c>
      <c r="K229" s="11" t="s">
        <v>30</v>
      </c>
      <c r="L229" s="11" t="str">
        <f>VLOOKUP(A229, Map!A:G,2)</f>
        <v>#N/A</v>
      </c>
      <c r="M229" s="2" t="s">
        <v>1052</v>
      </c>
      <c r="N229" s="2" t="s">
        <v>39</v>
      </c>
      <c r="O229" s="2" t="s">
        <v>40</v>
      </c>
      <c r="P229" s="15"/>
      <c r="Q229" s="15"/>
      <c r="R229" s="15"/>
      <c r="S229" s="15"/>
      <c r="T229" s="15"/>
      <c r="U229" s="15"/>
    </row>
    <row r="230">
      <c r="A230" s="16" t="s">
        <v>1056</v>
      </c>
      <c r="B230" s="7" t="s">
        <v>1049</v>
      </c>
      <c r="C230" s="2" t="s">
        <v>33</v>
      </c>
      <c r="D230" s="2">
        <v>7.0</v>
      </c>
      <c r="E230" s="2">
        <v>5.0</v>
      </c>
      <c r="F230" s="12">
        <v>16.0</v>
      </c>
      <c r="G230" s="2" t="s">
        <v>1351</v>
      </c>
      <c r="H230" s="13" t="s">
        <v>1053</v>
      </c>
      <c r="I230" s="14">
        <v>43814.0</v>
      </c>
      <c r="J230" s="13" t="str">
        <f t="shared" si="1"/>
        <v>$10 Noodles Vs. $94 Noodles</v>
      </c>
      <c r="K230" s="11" t="s">
        <v>30</v>
      </c>
      <c r="L230" s="11" t="str">
        <f>VLOOKUP(A230, Map!A:G,2)</f>
        <v>$5 Pizza Vs. $135 Pizza</v>
      </c>
      <c r="M230" s="2" t="s">
        <v>1059</v>
      </c>
      <c r="N230" s="2" t="s">
        <v>39</v>
      </c>
      <c r="O230" s="2" t="s">
        <v>40</v>
      </c>
      <c r="P230" s="2"/>
      <c r="Q230" s="2"/>
      <c r="R230" s="2"/>
      <c r="S230" s="2"/>
      <c r="T230" s="2" t="s">
        <v>51</v>
      </c>
      <c r="U230" s="2" t="s">
        <v>1060</v>
      </c>
    </row>
    <row r="231">
      <c r="A231" s="16" t="s">
        <v>1056</v>
      </c>
      <c r="B231" s="7" t="s">
        <v>1049</v>
      </c>
      <c r="C231" s="2" t="s">
        <v>992</v>
      </c>
      <c r="D231" s="2">
        <v>7.0</v>
      </c>
      <c r="E231" s="2">
        <v>5.0</v>
      </c>
      <c r="F231" s="12">
        <v>78.0</v>
      </c>
      <c r="G231" s="2" t="s">
        <v>1359</v>
      </c>
      <c r="H231" s="13" t="s">
        <v>1053</v>
      </c>
      <c r="I231" s="14">
        <v>43814.0</v>
      </c>
      <c r="J231" s="13" t="str">
        <f t="shared" si="1"/>
        <v>$10 Noodles Vs. $94 Noodles</v>
      </c>
      <c r="K231" s="11" t="s">
        <v>30</v>
      </c>
      <c r="L231" s="11" t="str">
        <f>VLOOKUP(A231, Map!A:G,2)</f>
        <v>$5 Pizza Vs. $135 Pizza</v>
      </c>
      <c r="M231" s="2" t="s">
        <v>1059</v>
      </c>
      <c r="N231" s="2" t="s">
        <v>39</v>
      </c>
      <c r="O231" s="2" t="s">
        <v>40</v>
      </c>
      <c r="P231" s="15"/>
      <c r="Q231" s="15"/>
      <c r="R231" s="15"/>
      <c r="S231" s="15"/>
      <c r="T231" s="15"/>
      <c r="U231" s="15"/>
    </row>
    <row r="232">
      <c r="A232" s="16" t="s">
        <v>1061</v>
      </c>
      <c r="B232" s="7" t="s">
        <v>1049</v>
      </c>
      <c r="C232" s="2" t="s">
        <v>21</v>
      </c>
      <c r="D232" s="2">
        <v>7.0</v>
      </c>
      <c r="E232" s="2">
        <v>5.0</v>
      </c>
      <c r="F232" s="12">
        <v>29.95</v>
      </c>
      <c r="G232" s="2" t="s">
        <v>1387</v>
      </c>
      <c r="H232" s="13" t="s">
        <v>1053</v>
      </c>
      <c r="I232" s="14">
        <v>43814.0</v>
      </c>
      <c r="J232" s="13" t="str">
        <f t="shared" si="1"/>
        <v>$10 Noodles Vs. $94 Noodles</v>
      </c>
      <c r="K232" s="11" t="s">
        <v>30</v>
      </c>
      <c r="L232" s="11" t="str">
        <f>VLOOKUP(A232, Map!A:G,2)</f>
        <v>$5 Pizza Vs. $135 Pizza</v>
      </c>
      <c r="M232" s="2" t="s">
        <v>1066</v>
      </c>
      <c r="N232" s="2" t="s">
        <v>39</v>
      </c>
      <c r="O232" s="2" t="s">
        <v>40</v>
      </c>
      <c r="P232" s="2"/>
      <c r="Q232" s="2"/>
      <c r="R232" s="2"/>
      <c r="S232" s="2"/>
      <c r="T232" s="2" t="s">
        <v>108</v>
      </c>
      <c r="U232" s="2" t="s">
        <v>1067</v>
      </c>
    </row>
    <row r="233">
      <c r="A233" s="16" t="s">
        <v>1068</v>
      </c>
      <c r="B233" s="7" t="s">
        <v>1049</v>
      </c>
      <c r="C233" s="2" t="s">
        <v>1392</v>
      </c>
      <c r="D233" s="2">
        <v>7.0</v>
      </c>
      <c r="E233" s="2">
        <v>5.0</v>
      </c>
      <c r="F233" s="12">
        <v>10.25</v>
      </c>
      <c r="G233" s="2" t="s">
        <v>1393</v>
      </c>
      <c r="H233" s="13" t="s">
        <v>1053</v>
      </c>
      <c r="I233" s="14">
        <v>43814.0</v>
      </c>
      <c r="J233" s="13" t="str">
        <f t="shared" si="1"/>
        <v>$10 Noodles Vs. $94 Noodles</v>
      </c>
      <c r="K233" s="11" t="s">
        <v>30</v>
      </c>
      <c r="L233" s="11" t="str">
        <f>VLOOKUP(A233, Map!A:G,2)</f>
        <v>$5 Pizza Vs. $135 Pizza</v>
      </c>
      <c r="M233" s="2" t="s">
        <v>1072</v>
      </c>
      <c r="N233" s="2" t="s">
        <v>39</v>
      </c>
      <c r="O233" s="2" t="s">
        <v>40</v>
      </c>
      <c r="P233" s="2"/>
      <c r="Q233" s="2"/>
      <c r="R233" s="2"/>
      <c r="S233" s="2"/>
      <c r="T233" s="2" t="s">
        <v>51</v>
      </c>
      <c r="U233" s="2" t="s">
        <v>1073</v>
      </c>
    </row>
    <row r="234">
      <c r="A234" s="16" t="s">
        <v>1074</v>
      </c>
      <c r="B234" s="7" t="s">
        <v>1076</v>
      </c>
      <c r="C234" s="2" t="s">
        <v>992</v>
      </c>
      <c r="D234" s="2">
        <v>7.0</v>
      </c>
      <c r="E234" s="2">
        <v>6.0</v>
      </c>
      <c r="F234" s="35"/>
      <c r="G234" s="2" t="s">
        <v>1396</v>
      </c>
      <c r="H234" s="13" t="s">
        <v>1080</v>
      </c>
      <c r="I234" s="14">
        <v>43821.0</v>
      </c>
      <c r="J234" s="13" t="str">
        <f t="shared" si="1"/>
        <v>$5 Fried Chicken Sandwich Vs. $20 Fried Chicken Sandwich</v>
      </c>
      <c r="K234" s="11" t="s">
        <v>30</v>
      </c>
      <c r="L234" s="11" t="str">
        <f>VLOOKUP(A234, Map!A:G,2)</f>
        <v>$5 Pizza Vs. $135 Pizza</v>
      </c>
      <c r="M234" s="2" t="s">
        <v>1079</v>
      </c>
      <c r="N234" s="2" t="s">
        <v>39</v>
      </c>
      <c r="O234" s="2" t="s">
        <v>40</v>
      </c>
      <c r="P234" s="15"/>
      <c r="Q234" s="15"/>
      <c r="R234" s="15"/>
      <c r="S234" s="15"/>
      <c r="T234" s="15"/>
      <c r="U234" s="15"/>
    </row>
    <row r="235">
      <c r="A235" s="16" t="s">
        <v>1082</v>
      </c>
      <c r="B235" s="7" t="s">
        <v>1076</v>
      </c>
      <c r="C235" s="2" t="s">
        <v>21</v>
      </c>
      <c r="D235" s="2">
        <v>7.0</v>
      </c>
      <c r="E235" s="2">
        <v>6.0</v>
      </c>
      <c r="F235" s="12">
        <v>12.0</v>
      </c>
      <c r="G235" s="2" t="s">
        <v>1402</v>
      </c>
      <c r="H235" s="13" t="s">
        <v>1080</v>
      </c>
      <c r="I235" s="14">
        <v>43821.0</v>
      </c>
      <c r="J235" s="13" t="str">
        <f t="shared" si="1"/>
        <v>$5 Fried Chicken Sandwich Vs. $20 Fried Chicken Sandwich</v>
      </c>
      <c r="K235" s="11" t="s">
        <v>30</v>
      </c>
      <c r="L235" s="11" t="str">
        <f>VLOOKUP(A235, Map!A:G,2)</f>
        <v>$15 Spaghetti Vs. $143 Spaghetti</v>
      </c>
      <c r="M235" s="2" t="s">
        <v>1086</v>
      </c>
      <c r="N235" s="2" t="s">
        <v>39</v>
      </c>
      <c r="O235" s="2" t="s">
        <v>40</v>
      </c>
      <c r="P235" s="2"/>
      <c r="Q235" s="2"/>
      <c r="R235" s="2"/>
      <c r="S235" s="2"/>
      <c r="T235" s="2" t="s">
        <v>108</v>
      </c>
      <c r="U235" s="2" t="s">
        <v>1087</v>
      </c>
    </row>
    <row r="236">
      <c r="A236" s="16" t="s">
        <v>1089</v>
      </c>
      <c r="B236" s="7" t="s">
        <v>1076</v>
      </c>
      <c r="C236" s="2" t="s">
        <v>33</v>
      </c>
      <c r="D236" s="2">
        <v>7.0</v>
      </c>
      <c r="E236" s="2">
        <v>6.0</v>
      </c>
      <c r="F236" s="12">
        <v>19.75</v>
      </c>
      <c r="G236" s="2" t="s">
        <v>1407</v>
      </c>
      <c r="H236" s="13" t="s">
        <v>1080</v>
      </c>
      <c r="I236" s="14">
        <v>43821.0</v>
      </c>
      <c r="J236" s="13" t="str">
        <f t="shared" si="1"/>
        <v>$5 Fried Chicken Sandwich Vs. $20 Fried Chicken Sandwich</v>
      </c>
      <c r="K236" s="11" t="s">
        <v>30</v>
      </c>
      <c r="L236" s="11" t="str">
        <f>VLOOKUP(A236, Map!A:G,2)</f>
        <v/>
      </c>
      <c r="M236" s="2" t="s">
        <v>1094</v>
      </c>
      <c r="N236" s="2" t="s">
        <v>39</v>
      </c>
      <c r="O236" s="2" t="s">
        <v>40</v>
      </c>
      <c r="P236" s="15"/>
      <c r="Q236" s="15"/>
      <c r="R236" s="15"/>
      <c r="S236" s="15"/>
      <c r="T236" s="15"/>
      <c r="U236" s="2" t="s">
        <v>1095</v>
      </c>
    </row>
    <row r="237">
      <c r="A237" s="16" t="s">
        <v>1096</v>
      </c>
      <c r="B237" s="7" t="s">
        <v>1076</v>
      </c>
      <c r="C237" s="2" t="s">
        <v>41</v>
      </c>
      <c r="D237" s="2">
        <v>7.0</v>
      </c>
      <c r="E237" s="2">
        <v>6.0</v>
      </c>
      <c r="F237" s="12">
        <v>5.5</v>
      </c>
      <c r="G237" s="2" t="s">
        <v>1402</v>
      </c>
      <c r="H237" s="13" t="s">
        <v>1080</v>
      </c>
      <c r="I237" s="14">
        <v>43821.0</v>
      </c>
      <c r="J237" s="13" t="str">
        <f t="shared" si="1"/>
        <v>$5 Fried Chicken Sandwich Vs. $20 Fried Chicken Sandwich</v>
      </c>
      <c r="K237" s="11" t="s">
        <v>30</v>
      </c>
      <c r="L237" s="11" t="str">
        <f>VLOOKUP(A237, Map!A:G,2)</f>
        <v/>
      </c>
      <c r="M237" s="2" t="s">
        <v>1100</v>
      </c>
      <c r="N237" s="2" t="s">
        <v>39</v>
      </c>
      <c r="O237" s="2" t="s">
        <v>40</v>
      </c>
      <c r="P237" s="2"/>
      <c r="Q237" s="2"/>
      <c r="R237" s="2"/>
      <c r="S237" s="2"/>
      <c r="T237" s="2" t="s">
        <v>51</v>
      </c>
      <c r="U237" s="15"/>
    </row>
    <row r="238">
      <c r="A238" s="16" t="s">
        <v>1112</v>
      </c>
      <c r="B238" s="22" t="s">
        <v>1114</v>
      </c>
      <c r="C238" s="2" t="s">
        <v>21</v>
      </c>
      <c r="D238" s="2">
        <v>8.0</v>
      </c>
      <c r="E238" s="22">
        <v>1.0</v>
      </c>
      <c r="F238" s="12">
        <v>15.0</v>
      </c>
      <c r="G238" s="2" t="s">
        <v>1408</v>
      </c>
      <c r="H238" s="16" t="s">
        <v>1119</v>
      </c>
      <c r="I238" s="32">
        <v>44059.0</v>
      </c>
      <c r="J238" s="13" t="str">
        <f t="shared" si="1"/>
        <v>$4 Pancake vs. $88 Pancake</v>
      </c>
      <c r="K238" s="11" t="s">
        <v>30</v>
      </c>
      <c r="L238" s="11" t="str">
        <f>VLOOKUP(A238, Map!A:G,2)</f>
        <v>#N/A</v>
      </c>
      <c r="M238" s="2" t="s">
        <v>1118</v>
      </c>
      <c r="N238" s="2" t="s">
        <v>39</v>
      </c>
      <c r="O238" s="2" t="s">
        <v>40</v>
      </c>
      <c r="P238" s="2"/>
      <c r="Q238" s="2"/>
      <c r="R238" s="2"/>
      <c r="S238" s="2"/>
      <c r="T238" s="2" t="s">
        <v>51</v>
      </c>
      <c r="U238" s="2" t="s">
        <v>1122</v>
      </c>
    </row>
    <row r="239">
      <c r="A239" s="16" t="s">
        <v>1123</v>
      </c>
      <c r="B239" s="22" t="s">
        <v>1114</v>
      </c>
      <c r="C239" s="2" t="s">
        <v>33</v>
      </c>
      <c r="D239" s="2">
        <v>8.0</v>
      </c>
      <c r="E239" s="22">
        <v>1.0</v>
      </c>
      <c r="F239" s="12">
        <v>88.0</v>
      </c>
      <c r="G239" s="2" t="s">
        <v>1409</v>
      </c>
      <c r="H239" s="16" t="s">
        <v>1119</v>
      </c>
      <c r="I239" s="32">
        <v>44059.0</v>
      </c>
      <c r="J239" s="13" t="str">
        <f t="shared" si="1"/>
        <v>$4 Pancake vs. $88 Pancake</v>
      </c>
      <c r="K239" s="11" t="s">
        <v>30</v>
      </c>
      <c r="L239" s="11" t="str">
        <f>VLOOKUP(A239, Map!A:G,2)</f>
        <v>#N/A</v>
      </c>
      <c r="M239" s="2" t="s">
        <v>1128</v>
      </c>
      <c r="N239" s="2" t="s">
        <v>39</v>
      </c>
      <c r="O239" s="2" t="s">
        <v>40</v>
      </c>
      <c r="P239" s="2"/>
      <c r="Q239" s="2"/>
      <c r="R239" s="2"/>
      <c r="S239" s="2"/>
      <c r="T239" s="2" t="s">
        <v>108</v>
      </c>
      <c r="U239" s="15"/>
    </row>
    <row r="240">
      <c r="A240" s="16" t="s">
        <v>1129</v>
      </c>
      <c r="B240" s="22" t="s">
        <v>1114</v>
      </c>
      <c r="C240" s="2" t="s">
        <v>41</v>
      </c>
      <c r="D240" s="2">
        <v>8.0</v>
      </c>
      <c r="E240" s="22">
        <v>1.0</v>
      </c>
      <c r="F240" s="12">
        <v>4.0</v>
      </c>
      <c r="G240" s="2" t="s">
        <v>1410</v>
      </c>
      <c r="H240" s="16" t="s">
        <v>1119</v>
      </c>
      <c r="I240" s="32">
        <v>44059.0</v>
      </c>
      <c r="J240" s="13" t="str">
        <f t="shared" si="1"/>
        <v>$4 Pancake vs. $88 Pancake</v>
      </c>
      <c r="K240" s="11" t="s">
        <v>30</v>
      </c>
      <c r="L240" s="11" t="str">
        <f>VLOOKUP(A240, Map!A:G,2)</f>
        <v>$5 Pizza Vs. $135 Pizza</v>
      </c>
      <c r="M240" s="2" t="s">
        <v>1133</v>
      </c>
      <c r="N240" s="2" t="s">
        <v>39</v>
      </c>
      <c r="O240" s="2" t="s">
        <v>40</v>
      </c>
      <c r="P240" s="15"/>
      <c r="Q240" s="15"/>
      <c r="R240" s="15"/>
      <c r="S240" s="15"/>
      <c r="T240" s="15"/>
      <c r="U240" s="2" t="s">
        <v>1411</v>
      </c>
    </row>
    <row r="241">
      <c r="A241" s="16" t="s">
        <v>1135</v>
      </c>
      <c r="B241" s="22" t="s">
        <v>1136</v>
      </c>
      <c r="C241" s="2" t="s">
        <v>41</v>
      </c>
      <c r="D241" s="2">
        <v>8.0</v>
      </c>
      <c r="E241" s="22">
        <v>2.0</v>
      </c>
      <c r="F241" s="12">
        <v>4.0</v>
      </c>
      <c r="G241" s="2" t="s">
        <v>1412</v>
      </c>
      <c r="H241" s="31" t="s">
        <v>1140</v>
      </c>
      <c r="I241" s="32">
        <v>44066.0</v>
      </c>
      <c r="J241" s="13" t="str">
        <f t="shared" si="1"/>
        <v>$4 Rice Vs. $52 Rice</v>
      </c>
      <c r="K241" s="11" t="s">
        <v>30</v>
      </c>
      <c r="L241" s="11" t="str">
        <f>VLOOKUP(A241, Map!A:G,2)</f>
        <v>#N/A</v>
      </c>
      <c r="M241" s="2" t="s">
        <v>1139</v>
      </c>
      <c r="N241" s="2" t="s">
        <v>39</v>
      </c>
      <c r="O241" s="2" t="s">
        <v>40</v>
      </c>
      <c r="P241" s="2"/>
      <c r="Q241" s="2"/>
      <c r="R241" s="2"/>
      <c r="S241" s="2"/>
      <c r="T241" s="2" t="s">
        <v>51</v>
      </c>
      <c r="U241" s="15"/>
    </row>
    <row r="242">
      <c r="A242" s="16" t="s">
        <v>1135</v>
      </c>
      <c r="B242" s="22" t="s">
        <v>1136</v>
      </c>
      <c r="C242" s="2" t="s">
        <v>41</v>
      </c>
      <c r="D242" s="2">
        <v>8.0</v>
      </c>
      <c r="E242" s="22">
        <v>2.0</v>
      </c>
      <c r="F242" s="12">
        <v>4.5</v>
      </c>
      <c r="G242" s="2" t="s">
        <v>1413</v>
      </c>
      <c r="H242" s="31" t="s">
        <v>1140</v>
      </c>
      <c r="I242" s="32">
        <v>44066.0</v>
      </c>
      <c r="J242" s="13" t="str">
        <f t="shared" si="1"/>
        <v>$4 Rice Vs. $52 Rice</v>
      </c>
      <c r="K242" s="11" t="s">
        <v>30</v>
      </c>
      <c r="L242" s="11" t="str">
        <f>VLOOKUP(A242, Map!A:G,2)</f>
        <v>#N/A</v>
      </c>
      <c r="M242" s="2" t="s">
        <v>1139</v>
      </c>
      <c r="N242" s="2" t="s">
        <v>39</v>
      </c>
      <c r="O242" s="2" t="s">
        <v>40</v>
      </c>
      <c r="P242" s="15"/>
      <c r="Q242" s="15"/>
      <c r="R242" s="15"/>
      <c r="S242" s="15"/>
      <c r="T242" s="15"/>
      <c r="U242" s="15"/>
    </row>
    <row r="243">
      <c r="A243" s="16" t="s">
        <v>1142</v>
      </c>
      <c r="B243" s="22" t="s">
        <v>1136</v>
      </c>
      <c r="C243" s="2" t="s">
        <v>992</v>
      </c>
      <c r="D243" s="2">
        <v>8.0</v>
      </c>
      <c r="E243" s="22">
        <v>2.0</v>
      </c>
      <c r="F243" s="12">
        <v>6.0</v>
      </c>
      <c r="G243" s="2" t="s">
        <v>1414</v>
      </c>
      <c r="H243" s="31" t="s">
        <v>1140</v>
      </c>
      <c r="I243" s="32">
        <v>44066.0</v>
      </c>
      <c r="J243" s="13" t="str">
        <f t="shared" si="1"/>
        <v>$4 Rice Vs. $52 Rice</v>
      </c>
      <c r="K243" s="11" t="s">
        <v>30</v>
      </c>
      <c r="L243" s="11" t="str">
        <f>VLOOKUP(A243, Map!A:G,2)</f>
        <v>$5 Pizza Vs. $135 Pizza</v>
      </c>
      <c r="M243" s="2" t="s">
        <v>1146</v>
      </c>
      <c r="N243" s="2" t="s">
        <v>39</v>
      </c>
      <c r="O243" s="2" t="s">
        <v>40</v>
      </c>
      <c r="P243" s="15"/>
      <c r="Q243" s="15"/>
      <c r="R243" s="15"/>
      <c r="S243" s="15"/>
      <c r="T243" s="15"/>
      <c r="U243" s="15"/>
    </row>
    <row r="244">
      <c r="A244" s="16" t="s">
        <v>1142</v>
      </c>
      <c r="B244" s="22" t="s">
        <v>1136</v>
      </c>
      <c r="C244" s="2" t="s">
        <v>992</v>
      </c>
      <c r="D244" s="2">
        <v>8.0</v>
      </c>
      <c r="E244" s="22">
        <v>2.0</v>
      </c>
      <c r="F244" s="12">
        <v>9.0</v>
      </c>
      <c r="G244" s="2" t="s">
        <v>1415</v>
      </c>
      <c r="H244" s="31" t="s">
        <v>1140</v>
      </c>
      <c r="I244" s="32">
        <v>44066.0</v>
      </c>
      <c r="J244" s="13" t="str">
        <f t="shared" si="1"/>
        <v>$4 Rice Vs. $52 Rice</v>
      </c>
      <c r="K244" s="11" t="s">
        <v>30</v>
      </c>
      <c r="L244" s="11" t="str">
        <f>VLOOKUP(A244, Map!A:G,2)</f>
        <v>$5 Pizza Vs. $135 Pizza</v>
      </c>
      <c r="M244" s="2" t="s">
        <v>1146</v>
      </c>
      <c r="N244" s="2" t="s">
        <v>39</v>
      </c>
      <c r="O244" s="2" t="s">
        <v>40</v>
      </c>
      <c r="P244" s="15"/>
      <c r="Q244" s="15"/>
      <c r="R244" s="15"/>
      <c r="S244" s="15"/>
      <c r="T244" s="15"/>
      <c r="U244" s="15"/>
    </row>
    <row r="245">
      <c r="A245" s="16" t="s">
        <v>1142</v>
      </c>
      <c r="B245" s="22" t="s">
        <v>1136</v>
      </c>
      <c r="C245" s="2" t="s">
        <v>33</v>
      </c>
      <c r="D245" s="2">
        <v>8.0</v>
      </c>
      <c r="E245" s="22">
        <v>2.0</v>
      </c>
      <c r="F245" s="12">
        <v>52.0</v>
      </c>
      <c r="G245" s="2" t="s">
        <v>1416</v>
      </c>
      <c r="H245" s="31" t="s">
        <v>1140</v>
      </c>
      <c r="I245" s="32">
        <v>44066.0</v>
      </c>
      <c r="J245" s="13" t="str">
        <f t="shared" si="1"/>
        <v>$4 Rice Vs. $52 Rice</v>
      </c>
      <c r="K245" s="11" t="s">
        <v>30</v>
      </c>
      <c r="L245" s="11" t="str">
        <f>VLOOKUP(A245, Map!A:G,2)</f>
        <v>$5 Pizza Vs. $135 Pizza</v>
      </c>
      <c r="M245" s="2" t="s">
        <v>1146</v>
      </c>
      <c r="N245" s="2" t="s">
        <v>39</v>
      </c>
      <c r="O245" s="2" t="s">
        <v>40</v>
      </c>
      <c r="P245" s="2"/>
      <c r="Q245" s="2"/>
      <c r="R245" s="2"/>
      <c r="S245" s="2"/>
      <c r="T245" s="2" t="s">
        <v>51</v>
      </c>
      <c r="U245" s="15"/>
    </row>
    <row r="246">
      <c r="A246" s="16" t="s">
        <v>1147</v>
      </c>
      <c r="B246" s="22" t="s">
        <v>1136</v>
      </c>
      <c r="C246" s="2" t="s">
        <v>992</v>
      </c>
      <c r="D246" s="2">
        <v>8.0</v>
      </c>
      <c r="E246" s="22">
        <v>2.0</v>
      </c>
      <c r="F246" s="12">
        <v>14.0</v>
      </c>
      <c r="G246" s="2" t="s">
        <v>1417</v>
      </c>
      <c r="H246" s="31" t="s">
        <v>1140</v>
      </c>
      <c r="I246" s="32">
        <v>44066.0</v>
      </c>
      <c r="J246" s="13" t="str">
        <f t="shared" si="1"/>
        <v>$4 Rice Vs. $52 Rice</v>
      </c>
      <c r="K246" s="11" t="s">
        <v>30</v>
      </c>
      <c r="L246" s="11" t="str">
        <f>VLOOKUP(A246, Map!A:G,2)</f>
        <v>$15 Spaghetti Vs. $143 Spaghetti</v>
      </c>
      <c r="M246" s="2" t="s">
        <v>1151</v>
      </c>
      <c r="N246" s="2" t="s">
        <v>39</v>
      </c>
      <c r="O246" s="2" t="s">
        <v>40</v>
      </c>
      <c r="P246" s="15"/>
      <c r="Q246" s="15"/>
      <c r="R246" s="15"/>
      <c r="S246" s="15"/>
      <c r="T246" s="15"/>
      <c r="U246" s="15"/>
    </row>
    <row r="247">
      <c r="A247" s="16" t="s">
        <v>1147</v>
      </c>
      <c r="B247" s="22" t="s">
        <v>1136</v>
      </c>
      <c r="C247" s="2" t="s">
        <v>21</v>
      </c>
      <c r="D247" s="2">
        <v>8.0</v>
      </c>
      <c r="E247" s="22">
        <v>2.0</v>
      </c>
      <c r="F247" s="12">
        <v>15.0</v>
      </c>
      <c r="G247" s="2" t="s">
        <v>1418</v>
      </c>
      <c r="H247" s="31" t="s">
        <v>1140</v>
      </c>
      <c r="I247" s="32">
        <v>44066.0</v>
      </c>
      <c r="J247" s="13" t="str">
        <f t="shared" si="1"/>
        <v>$4 Rice Vs. $52 Rice</v>
      </c>
      <c r="K247" s="11" t="s">
        <v>30</v>
      </c>
      <c r="L247" s="11" t="str">
        <f>VLOOKUP(A247, Map!A:G,2)</f>
        <v>$15 Spaghetti Vs. $143 Spaghetti</v>
      </c>
      <c r="M247" s="2" t="s">
        <v>1151</v>
      </c>
      <c r="N247" s="2" t="s">
        <v>39</v>
      </c>
      <c r="O247" s="2" t="s">
        <v>40</v>
      </c>
      <c r="P247" s="2"/>
      <c r="Q247" s="2"/>
      <c r="R247" s="2"/>
      <c r="S247" s="2"/>
      <c r="T247" s="2" t="s">
        <v>51</v>
      </c>
      <c r="U247" s="15"/>
    </row>
    <row r="248">
      <c r="A248" s="16" t="s">
        <v>1147</v>
      </c>
      <c r="B248" s="22" t="s">
        <v>1136</v>
      </c>
      <c r="C248" s="2" t="s">
        <v>992</v>
      </c>
      <c r="D248" s="2">
        <v>8.0</v>
      </c>
      <c r="E248" s="22">
        <v>2.0</v>
      </c>
      <c r="F248" s="12">
        <v>38.0</v>
      </c>
      <c r="G248" s="2" t="s">
        <v>1419</v>
      </c>
      <c r="H248" s="31" t="s">
        <v>1140</v>
      </c>
      <c r="I248" s="32">
        <v>44066.0</v>
      </c>
      <c r="J248" s="13" t="str">
        <f t="shared" si="1"/>
        <v>$4 Rice Vs. $52 Rice</v>
      </c>
      <c r="K248" s="11" t="s">
        <v>30</v>
      </c>
      <c r="L248" s="11" t="str">
        <f>VLOOKUP(A248, Map!A:G,2)</f>
        <v>$15 Spaghetti Vs. $143 Spaghetti</v>
      </c>
      <c r="M248" s="2" t="s">
        <v>1151</v>
      </c>
      <c r="N248" s="2" t="s">
        <v>39</v>
      </c>
      <c r="O248" s="2" t="s">
        <v>40</v>
      </c>
      <c r="P248" s="15"/>
      <c r="Q248" s="15"/>
      <c r="R248" s="15"/>
      <c r="S248" s="15"/>
      <c r="T248" s="15"/>
      <c r="U248" s="15"/>
    </row>
    <row r="249">
      <c r="A249" s="16" t="s">
        <v>1152</v>
      </c>
      <c r="B249" s="22" t="s">
        <v>1153</v>
      </c>
      <c r="C249" s="2" t="s">
        <v>41</v>
      </c>
      <c r="D249" s="2">
        <v>8.0</v>
      </c>
      <c r="E249" s="22">
        <v>3.0</v>
      </c>
      <c r="F249" s="12">
        <v>3.69</v>
      </c>
      <c r="G249" s="2" t="s">
        <v>1420</v>
      </c>
      <c r="H249" s="31" t="s">
        <v>1157</v>
      </c>
      <c r="I249" s="32">
        <v>44073.0</v>
      </c>
      <c r="J249" s="13" t="str">
        <f t="shared" si="1"/>
        <v>$4 Breakfast Sandwich Vs. $30 Breakfast Sandwich</v>
      </c>
      <c r="K249" s="11" t="s">
        <v>30</v>
      </c>
      <c r="L249" s="11" t="str">
        <f>VLOOKUP(A249, Map!A:G,2)</f>
        <v>$5 Pizza Vs. $135 Pizza</v>
      </c>
      <c r="M249" s="2" t="s">
        <v>1156</v>
      </c>
      <c r="N249" s="2" t="s">
        <v>771</v>
      </c>
      <c r="O249" s="2" t="s">
        <v>40</v>
      </c>
      <c r="P249" s="2">
        <v>1.0</v>
      </c>
      <c r="Q249" s="2">
        <v>1.0</v>
      </c>
      <c r="R249" s="2">
        <v>1.0</v>
      </c>
      <c r="S249" s="15"/>
      <c r="T249" s="15"/>
      <c r="U249" s="2" t="s">
        <v>1159</v>
      </c>
    </row>
    <row r="250">
      <c r="A250" s="16" t="s">
        <v>1160</v>
      </c>
      <c r="B250" s="22" t="s">
        <v>1153</v>
      </c>
      <c r="C250" s="2" t="s">
        <v>33</v>
      </c>
      <c r="D250" s="2">
        <v>8.0</v>
      </c>
      <c r="E250" s="22">
        <v>3.0</v>
      </c>
      <c r="F250" s="12">
        <v>22.0</v>
      </c>
      <c r="G250" s="2" t="s">
        <v>1421</v>
      </c>
      <c r="H250" s="31" t="s">
        <v>1157</v>
      </c>
      <c r="I250" s="32">
        <v>44073.0</v>
      </c>
      <c r="J250" s="13" t="str">
        <f t="shared" si="1"/>
        <v>$4 Breakfast Sandwich Vs. $30 Breakfast Sandwich</v>
      </c>
      <c r="K250" s="11" t="s">
        <v>30</v>
      </c>
      <c r="L250" s="11" t="str">
        <f>VLOOKUP(A250, Map!A:G,2)</f>
        <v>$5 Pizza Vs. $135 Pizza</v>
      </c>
      <c r="M250" s="2" t="s">
        <v>1164</v>
      </c>
      <c r="N250" s="2" t="s">
        <v>771</v>
      </c>
      <c r="O250" s="2" t="s">
        <v>40</v>
      </c>
      <c r="P250" s="15"/>
      <c r="Q250" s="15"/>
      <c r="R250" s="15"/>
      <c r="S250" s="15"/>
      <c r="T250" s="15"/>
      <c r="U250" s="15"/>
    </row>
    <row r="251">
      <c r="A251" s="16" t="s">
        <v>1160</v>
      </c>
      <c r="B251" s="22" t="s">
        <v>1153</v>
      </c>
      <c r="C251" s="2" t="s">
        <v>33</v>
      </c>
      <c r="D251" s="2">
        <v>8.0</v>
      </c>
      <c r="E251" s="22">
        <v>3.0</v>
      </c>
      <c r="F251" s="12">
        <v>30.0</v>
      </c>
      <c r="G251" s="2" t="s">
        <v>1422</v>
      </c>
      <c r="H251" s="31" t="s">
        <v>1157</v>
      </c>
      <c r="I251" s="32">
        <v>44073.0</v>
      </c>
      <c r="J251" s="13" t="str">
        <f t="shared" si="1"/>
        <v>$4 Breakfast Sandwich Vs. $30 Breakfast Sandwich</v>
      </c>
      <c r="K251" s="11" t="s">
        <v>30</v>
      </c>
      <c r="L251" s="11" t="str">
        <f>VLOOKUP(A251, Map!A:G,2)</f>
        <v>$5 Pizza Vs. $135 Pizza</v>
      </c>
      <c r="M251" s="2" t="s">
        <v>1164</v>
      </c>
      <c r="N251" s="2" t="s">
        <v>771</v>
      </c>
      <c r="O251" s="2" t="s">
        <v>40</v>
      </c>
      <c r="P251" s="15"/>
      <c r="Q251" s="15"/>
      <c r="R251" s="15"/>
      <c r="S251" s="15"/>
      <c r="T251" s="15"/>
      <c r="U251" s="15"/>
    </row>
    <row r="252">
      <c r="A252" s="16" t="s">
        <v>1160</v>
      </c>
      <c r="B252" s="22" t="s">
        <v>1153</v>
      </c>
      <c r="C252" s="2" t="s">
        <v>33</v>
      </c>
      <c r="D252" s="2">
        <v>8.0</v>
      </c>
      <c r="E252" s="22">
        <v>3.0</v>
      </c>
      <c r="F252" s="12">
        <v>56.0</v>
      </c>
      <c r="G252" s="2" t="s">
        <v>1423</v>
      </c>
      <c r="H252" s="31" t="s">
        <v>1157</v>
      </c>
      <c r="I252" s="32">
        <v>44073.0</v>
      </c>
      <c r="J252" s="13" t="str">
        <f t="shared" si="1"/>
        <v>$4 Breakfast Sandwich Vs. $30 Breakfast Sandwich</v>
      </c>
      <c r="K252" s="11" t="s">
        <v>30</v>
      </c>
      <c r="L252" s="11" t="str">
        <f>VLOOKUP(A252, Map!A:G,2)</f>
        <v>$5 Pizza Vs. $135 Pizza</v>
      </c>
      <c r="M252" s="2" t="s">
        <v>1164</v>
      </c>
      <c r="N252" s="2" t="s">
        <v>771</v>
      </c>
      <c r="O252" s="2" t="s">
        <v>40</v>
      </c>
      <c r="P252" s="15"/>
      <c r="Q252" s="15"/>
      <c r="R252" s="15"/>
      <c r="S252" s="15"/>
      <c r="T252" s="15"/>
      <c r="U252" s="15"/>
    </row>
    <row r="253">
      <c r="A253" s="16" t="s">
        <v>1166</v>
      </c>
      <c r="B253" s="22" t="s">
        <v>1153</v>
      </c>
      <c r="C253" s="2" t="s">
        <v>21</v>
      </c>
      <c r="D253" s="2">
        <v>8.0</v>
      </c>
      <c r="E253" s="22">
        <v>3.0</v>
      </c>
      <c r="F253" s="12">
        <v>12.0</v>
      </c>
      <c r="G253" s="2" t="s">
        <v>1424</v>
      </c>
      <c r="H253" s="31" t="s">
        <v>1157</v>
      </c>
      <c r="I253" s="32">
        <v>44073.0</v>
      </c>
      <c r="J253" s="13" t="str">
        <f t="shared" si="1"/>
        <v>$4 Breakfast Sandwich Vs. $30 Breakfast Sandwich</v>
      </c>
      <c r="K253" s="11" t="s">
        <v>30</v>
      </c>
      <c r="L253" s="11" t="str">
        <f>VLOOKUP(A253, Map!A:G,2)</f>
        <v/>
      </c>
      <c r="M253" s="2" t="s">
        <v>1170</v>
      </c>
      <c r="N253" s="2" t="s">
        <v>771</v>
      </c>
      <c r="O253" s="2" t="s">
        <v>40</v>
      </c>
      <c r="P253" s="15"/>
      <c r="Q253" s="15"/>
      <c r="R253" s="15"/>
      <c r="S253" s="15"/>
      <c r="T253" s="15"/>
      <c r="U253" s="15"/>
    </row>
    <row r="254">
      <c r="A254" s="16" t="s">
        <v>1166</v>
      </c>
      <c r="B254" s="22" t="s">
        <v>1153</v>
      </c>
      <c r="C254" s="2" t="s">
        <v>21</v>
      </c>
      <c r="D254" s="2">
        <v>8.0</v>
      </c>
      <c r="E254" s="22">
        <v>3.0</v>
      </c>
      <c r="F254" s="12">
        <v>14.0</v>
      </c>
      <c r="G254" s="2" t="s">
        <v>1425</v>
      </c>
      <c r="H254" s="31" t="s">
        <v>1157</v>
      </c>
      <c r="I254" s="32">
        <v>44073.0</v>
      </c>
      <c r="J254" s="13" t="str">
        <f t="shared" si="1"/>
        <v>$4 Breakfast Sandwich Vs. $30 Breakfast Sandwich</v>
      </c>
      <c r="K254" s="11" t="s">
        <v>30</v>
      </c>
      <c r="L254" s="11" t="str">
        <f>VLOOKUP(A254, Map!A:G,2)</f>
        <v/>
      </c>
      <c r="M254" s="2" t="s">
        <v>1170</v>
      </c>
      <c r="N254" s="2" t="s">
        <v>771</v>
      </c>
      <c r="O254" s="2" t="s">
        <v>40</v>
      </c>
      <c r="P254" s="15"/>
      <c r="Q254" s="15"/>
      <c r="R254" s="15"/>
      <c r="S254" s="15"/>
      <c r="T254" s="15"/>
      <c r="U254" s="2" t="s">
        <v>1426</v>
      </c>
    </row>
    <row r="255">
      <c r="A255" s="16" t="s">
        <v>1166</v>
      </c>
      <c r="B255" s="22" t="s">
        <v>1153</v>
      </c>
      <c r="C255" s="2" t="s">
        <v>21</v>
      </c>
      <c r="D255" s="2">
        <v>8.0</v>
      </c>
      <c r="E255" s="22">
        <v>3.0</v>
      </c>
      <c r="F255" s="12">
        <v>24.0</v>
      </c>
      <c r="G255" s="2" t="s">
        <v>1427</v>
      </c>
      <c r="H255" s="31" t="s">
        <v>1157</v>
      </c>
      <c r="I255" s="32">
        <v>44073.0</v>
      </c>
      <c r="J255" s="13" t="str">
        <f t="shared" si="1"/>
        <v>$4 Breakfast Sandwich Vs. $30 Breakfast Sandwich</v>
      </c>
      <c r="K255" s="11" t="s">
        <v>30</v>
      </c>
      <c r="L255" s="11" t="str">
        <f>VLOOKUP(A255, Map!A:G,2)</f>
        <v/>
      </c>
      <c r="M255" s="2" t="s">
        <v>1170</v>
      </c>
      <c r="N255" s="2" t="s">
        <v>771</v>
      </c>
      <c r="O255" s="2" t="s">
        <v>40</v>
      </c>
      <c r="P255" s="15"/>
      <c r="Q255" s="15"/>
      <c r="R255" s="15"/>
      <c r="S255" s="15"/>
      <c r="T255" s="15"/>
      <c r="U255" s="15"/>
    </row>
    <row r="256">
      <c r="A256" s="16" t="s">
        <v>1171</v>
      </c>
      <c r="B256" s="22" t="s">
        <v>1173</v>
      </c>
      <c r="C256" s="2" t="s">
        <v>645</v>
      </c>
      <c r="D256" s="2">
        <v>8.0</v>
      </c>
      <c r="E256" s="22">
        <v>4.0</v>
      </c>
      <c r="F256" s="12">
        <v>2.0</v>
      </c>
      <c r="G256" s="2" t="s">
        <v>1428</v>
      </c>
      <c r="H256" s="31" t="s">
        <v>1177</v>
      </c>
      <c r="I256" s="32">
        <v>44080.0</v>
      </c>
      <c r="J256" s="13" t="str">
        <f t="shared" si="1"/>
        <v>$5 Carrot Vs. $20 Carrot</v>
      </c>
      <c r="K256" s="11" t="s">
        <v>30</v>
      </c>
      <c r="L256" s="11" t="str">
        <f>VLOOKUP(A256, Map!A:G,2)</f>
        <v>$5 Pizza Vs. $135 Pizza</v>
      </c>
      <c r="M256" s="2" t="s">
        <v>1176</v>
      </c>
      <c r="N256" s="2" t="s">
        <v>1429</v>
      </c>
      <c r="O256" s="2" t="s">
        <v>40</v>
      </c>
      <c r="P256" s="15"/>
      <c r="Q256" s="15"/>
      <c r="R256" s="15"/>
      <c r="S256" s="15"/>
      <c r="T256" s="15"/>
      <c r="U256" s="15"/>
    </row>
    <row r="257">
      <c r="A257" s="16" t="s">
        <v>1181</v>
      </c>
      <c r="B257" s="22" t="s">
        <v>1173</v>
      </c>
      <c r="C257" s="2" t="s">
        <v>41</v>
      </c>
      <c r="D257" s="2">
        <v>8.0</v>
      </c>
      <c r="E257" s="22">
        <v>4.0</v>
      </c>
      <c r="F257" s="12">
        <v>5.0</v>
      </c>
      <c r="G257" s="2" t="s">
        <v>1430</v>
      </c>
      <c r="H257" s="31" t="s">
        <v>1177</v>
      </c>
      <c r="I257" s="32">
        <v>44080.0</v>
      </c>
      <c r="J257" s="13" t="str">
        <f t="shared" si="1"/>
        <v>$5 Carrot Vs. $20 Carrot</v>
      </c>
      <c r="K257" s="11" t="s">
        <v>30</v>
      </c>
      <c r="L257" s="11" t="str">
        <f>VLOOKUP(A257, Map!A:G,2)</f>
        <v>$5 Pizza Vs. $135 Pizza</v>
      </c>
      <c r="M257" s="2" t="s">
        <v>1185</v>
      </c>
      <c r="N257" s="2" t="s">
        <v>1429</v>
      </c>
      <c r="O257" s="2" t="s">
        <v>40</v>
      </c>
      <c r="P257" s="2">
        <v>1.0</v>
      </c>
      <c r="Q257" s="15"/>
      <c r="R257" s="2">
        <v>1.0</v>
      </c>
      <c r="S257" s="15"/>
      <c r="T257" s="15"/>
      <c r="U257" s="15"/>
    </row>
    <row r="258">
      <c r="A258" s="16" t="s">
        <v>1189</v>
      </c>
      <c r="B258" s="22" t="s">
        <v>1173</v>
      </c>
      <c r="C258" s="2" t="s">
        <v>33</v>
      </c>
      <c r="D258" s="2">
        <v>8.0</v>
      </c>
      <c r="E258" s="22">
        <v>4.0</v>
      </c>
      <c r="F258" s="12">
        <v>20.0</v>
      </c>
      <c r="G258" s="2" t="s">
        <v>1431</v>
      </c>
      <c r="H258" s="31" t="s">
        <v>1177</v>
      </c>
      <c r="I258" s="32">
        <v>44080.0</v>
      </c>
      <c r="J258" s="13" t="str">
        <f t="shared" si="1"/>
        <v>$5 Carrot Vs. $20 Carrot</v>
      </c>
      <c r="K258" s="11" t="s">
        <v>30</v>
      </c>
      <c r="L258" s="11" t="str">
        <f>VLOOKUP(A258, Map!A:G,2)</f>
        <v>$5 Pizza Vs. $135 Pizza</v>
      </c>
      <c r="M258" s="2" t="s">
        <v>1193</v>
      </c>
      <c r="N258" s="2" t="s">
        <v>1429</v>
      </c>
      <c r="O258" s="2" t="s">
        <v>40</v>
      </c>
      <c r="P258" s="15"/>
      <c r="Q258" s="2">
        <v>1.0</v>
      </c>
      <c r="R258" s="15"/>
      <c r="S258" s="15"/>
      <c r="T258" s="15"/>
      <c r="U258" s="2" t="s">
        <v>1194</v>
      </c>
    </row>
    <row r="259">
      <c r="A259" s="16" t="s">
        <v>1195</v>
      </c>
      <c r="B259" s="22" t="s">
        <v>1173</v>
      </c>
      <c r="C259" s="2" t="s">
        <v>21</v>
      </c>
      <c r="D259" s="2">
        <v>8.0</v>
      </c>
      <c r="E259" s="22">
        <v>4.0</v>
      </c>
      <c r="F259" s="12">
        <v>10.0</v>
      </c>
      <c r="G259" s="2" t="s">
        <v>1432</v>
      </c>
      <c r="H259" s="31" t="s">
        <v>1177</v>
      </c>
      <c r="I259" s="32">
        <v>44080.0</v>
      </c>
      <c r="J259" s="13" t="str">
        <f t="shared" si="1"/>
        <v>$5 Carrot Vs. $20 Carrot</v>
      </c>
      <c r="K259" s="11" t="s">
        <v>30</v>
      </c>
      <c r="L259" s="11" t="str">
        <f>VLOOKUP(A259, Map!A:G,2)</f>
        <v>$15 Spaghetti Vs. $143 Spaghetti</v>
      </c>
      <c r="M259" s="2" t="s">
        <v>1199</v>
      </c>
      <c r="N259" s="2" t="s">
        <v>1429</v>
      </c>
      <c r="O259" s="2" t="s">
        <v>40</v>
      </c>
      <c r="P259" s="15"/>
      <c r="Q259" s="15"/>
      <c r="R259" s="15"/>
      <c r="S259" s="15"/>
      <c r="T259" s="15"/>
      <c r="U259" s="2" t="s">
        <v>1200</v>
      </c>
    </row>
    <row r="260">
      <c r="A260" s="16" t="s">
        <v>1201</v>
      </c>
      <c r="B260" s="22" t="s">
        <v>1203</v>
      </c>
      <c r="C260" s="2" t="s">
        <v>33</v>
      </c>
      <c r="D260" s="2">
        <v>8.0</v>
      </c>
      <c r="E260" s="22">
        <v>5.0</v>
      </c>
      <c r="F260" s="12">
        <v>20.0</v>
      </c>
      <c r="G260" s="2" t="s">
        <v>1433</v>
      </c>
      <c r="H260" s="16" t="s">
        <v>1207</v>
      </c>
      <c r="I260" s="32">
        <v>44087.0</v>
      </c>
      <c r="J260" s="13" t="str">
        <f t="shared" si="1"/>
        <v>$4 Quesadilla Vs. $20 Quesadilla</v>
      </c>
      <c r="K260" s="11" t="s">
        <v>30</v>
      </c>
      <c r="L260" s="11" t="str">
        <f>VLOOKUP(A260, Map!A:G,2)</f>
        <v>#N/A</v>
      </c>
      <c r="M260" s="2" t="s">
        <v>1206</v>
      </c>
      <c r="N260" s="2" t="s">
        <v>39</v>
      </c>
      <c r="O260" s="2" t="s">
        <v>40</v>
      </c>
      <c r="P260" s="15"/>
      <c r="Q260" s="2">
        <v>1.0</v>
      </c>
      <c r="R260" s="15"/>
      <c r="S260" s="15"/>
      <c r="T260" s="15"/>
      <c r="U260" s="15"/>
    </row>
    <row r="261">
      <c r="A261" s="16" t="s">
        <v>1434</v>
      </c>
      <c r="B261" s="22" t="s">
        <v>1203</v>
      </c>
      <c r="C261" s="2" t="s">
        <v>21</v>
      </c>
      <c r="D261" s="2">
        <v>8.0</v>
      </c>
      <c r="E261" s="22">
        <v>5.0</v>
      </c>
      <c r="F261" s="12">
        <v>7.0</v>
      </c>
      <c r="G261" s="2" t="s">
        <v>1435</v>
      </c>
      <c r="H261" s="16" t="s">
        <v>1207</v>
      </c>
      <c r="I261" s="32">
        <v>44087.0</v>
      </c>
      <c r="J261" s="13" t="str">
        <f t="shared" si="1"/>
        <v>$4 Quesadilla Vs. $20 Quesadilla</v>
      </c>
      <c r="K261" s="11" t="s">
        <v>30</v>
      </c>
      <c r="L261" s="11" t="str">
        <f>VLOOKUP(A261, Map!A:G,2)</f>
        <v>$5 Pizza Vs. $135 Pizza</v>
      </c>
      <c r="M261" s="2" t="s">
        <v>1212</v>
      </c>
      <c r="N261" s="2" t="s">
        <v>39</v>
      </c>
      <c r="O261" s="2" t="s">
        <v>40</v>
      </c>
      <c r="P261" s="15"/>
      <c r="Q261" s="15"/>
      <c r="R261" s="2">
        <v>1.0</v>
      </c>
      <c r="S261" s="15"/>
      <c r="T261" s="15"/>
      <c r="U261" s="15"/>
    </row>
    <row r="262">
      <c r="A262" s="16" t="s">
        <v>1213</v>
      </c>
      <c r="B262" s="22" t="s">
        <v>1203</v>
      </c>
      <c r="C262" s="2" t="s">
        <v>41</v>
      </c>
      <c r="D262" s="2">
        <v>8.0</v>
      </c>
      <c r="E262" s="22">
        <v>5.0</v>
      </c>
      <c r="F262" s="12">
        <v>4.25</v>
      </c>
      <c r="G262" s="2" t="s">
        <v>1436</v>
      </c>
      <c r="H262" s="16" t="s">
        <v>1207</v>
      </c>
      <c r="I262" s="32">
        <v>44087.0</v>
      </c>
      <c r="J262" s="13" t="str">
        <f t="shared" si="1"/>
        <v>$4 Quesadilla Vs. $20 Quesadilla</v>
      </c>
      <c r="K262" s="2" t="s">
        <v>37</v>
      </c>
      <c r="L262" s="11" t="str">
        <f>VLOOKUP(A262, Map!A:G,2)</f>
        <v/>
      </c>
      <c r="M262" s="2" t="s">
        <v>1217</v>
      </c>
      <c r="N262" s="2" t="s">
        <v>39</v>
      </c>
      <c r="O262" s="2" t="s">
        <v>40</v>
      </c>
      <c r="P262" s="2">
        <v>1.0</v>
      </c>
      <c r="Q262" s="15"/>
      <c r="R262" s="15"/>
      <c r="S262" s="15"/>
      <c r="T262" s="15"/>
      <c r="U262" s="2" t="s">
        <v>1218</v>
      </c>
    </row>
    <row r="263">
      <c r="A263" s="16" t="s">
        <v>1219</v>
      </c>
      <c r="B263" s="22" t="s">
        <v>1220</v>
      </c>
      <c r="C263" s="2" t="s">
        <v>992</v>
      </c>
      <c r="D263" s="2">
        <v>8.0</v>
      </c>
      <c r="E263" s="22">
        <v>6.0</v>
      </c>
      <c r="F263" s="12">
        <v>798.0</v>
      </c>
      <c r="G263" s="2" t="s">
        <v>1437</v>
      </c>
      <c r="H263" s="31" t="s">
        <v>1224</v>
      </c>
      <c r="I263" s="32">
        <v>44094.0</v>
      </c>
      <c r="J263" s="13" t="str">
        <f t="shared" si="1"/>
        <v>$128 Hot Pot Vs. $798 Meat Board</v>
      </c>
      <c r="K263" s="11" t="s">
        <v>30</v>
      </c>
      <c r="L263" s="11" t="str">
        <f>VLOOKUP(A263, Map!A:G,2)</f>
        <v>$5 Pizza Vs. $135 Pizza</v>
      </c>
      <c r="M263" s="2" t="s">
        <v>533</v>
      </c>
      <c r="N263" s="2" t="s">
        <v>771</v>
      </c>
      <c r="O263" s="2" t="s">
        <v>40</v>
      </c>
      <c r="P263" s="15"/>
      <c r="Q263" s="15"/>
      <c r="R263" s="15"/>
      <c r="S263" s="15"/>
      <c r="T263" s="15"/>
      <c r="U263" s="15"/>
    </row>
    <row r="264">
      <c r="A264" s="16" t="s">
        <v>1226</v>
      </c>
      <c r="B264" s="22" t="s">
        <v>1220</v>
      </c>
      <c r="C264" s="2" t="s">
        <v>992</v>
      </c>
      <c r="D264" s="2">
        <v>8.0</v>
      </c>
      <c r="E264" s="22">
        <v>6.0</v>
      </c>
      <c r="F264" s="12">
        <v>128.0</v>
      </c>
      <c r="G264" s="2" t="s">
        <v>1438</v>
      </c>
      <c r="H264" s="31" t="s">
        <v>1224</v>
      </c>
      <c r="I264" s="32">
        <v>44094.0</v>
      </c>
      <c r="J264" s="13" t="str">
        <f t="shared" si="1"/>
        <v>$128 Hot Pot Vs. $798 Meat Board</v>
      </c>
      <c r="K264" s="11" t="s">
        <v>30</v>
      </c>
      <c r="L264" s="11" t="str">
        <f>VLOOKUP(A264, Map!A:G,2)</f>
        <v/>
      </c>
      <c r="M264" s="2" t="s">
        <v>1230</v>
      </c>
      <c r="N264" s="2" t="s">
        <v>1439</v>
      </c>
      <c r="O264" s="2" t="s">
        <v>40</v>
      </c>
      <c r="P264" s="15"/>
      <c r="Q264" s="15"/>
      <c r="R264" s="15"/>
      <c r="S264" s="15"/>
      <c r="T264" s="15"/>
      <c r="U264" s="15"/>
    </row>
    <row r="265">
      <c r="A265" s="6" t="str">
        <f>HYPERLINK("http://www.pampas-grill.com/","CLOSED Pampas Grill")</f>
        <v>CLOSED Pampas Grill</v>
      </c>
      <c r="B265" s="7" t="s">
        <v>737</v>
      </c>
      <c r="C265" s="2" t="s">
        <v>992</v>
      </c>
      <c r="D265" s="2" t="s">
        <v>738</v>
      </c>
      <c r="E265" s="2">
        <v>1.0</v>
      </c>
      <c r="F265" s="12">
        <v>9.25</v>
      </c>
      <c r="G265" s="2" t="s">
        <v>1440</v>
      </c>
      <c r="H265" s="13" t="s">
        <v>742</v>
      </c>
      <c r="I265" s="14">
        <v>43436.0</v>
      </c>
      <c r="J265" s="17" t="str">
        <f t="shared" si="1"/>
        <v>$710 Potluck Dinner • Holiday Special Part 1</v>
      </c>
      <c r="K265" s="11" t="s">
        <v>30</v>
      </c>
      <c r="L265" s="11" t="str">
        <f>VLOOKUP(A265, Map!A:G,2)</f>
        <v>$5 Pizza Vs. $135 Pizza</v>
      </c>
      <c r="M265" s="11" t="s">
        <v>741</v>
      </c>
      <c r="N265" s="2" t="s">
        <v>39</v>
      </c>
      <c r="O265" s="2" t="s">
        <v>40</v>
      </c>
      <c r="P265" s="15"/>
      <c r="Q265" s="15"/>
      <c r="R265" s="15"/>
      <c r="S265" s="15"/>
      <c r="T265" s="15"/>
      <c r="U265" s="2" t="s">
        <v>744</v>
      </c>
    </row>
    <row r="266">
      <c r="A266" s="11" t="s">
        <v>992</v>
      </c>
      <c r="B266" s="7" t="s">
        <v>737</v>
      </c>
      <c r="C266" s="2" t="s">
        <v>992</v>
      </c>
      <c r="D266" s="2" t="s">
        <v>738</v>
      </c>
      <c r="E266" s="2">
        <v>1.0</v>
      </c>
      <c r="F266" s="12">
        <v>15.0</v>
      </c>
      <c r="G266" s="2" t="s">
        <v>1441</v>
      </c>
      <c r="H266" s="13" t="s">
        <v>742</v>
      </c>
      <c r="I266" s="14">
        <v>43436.0</v>
      </c>
      <c r="J266" s="17" t="str">
        <f t="shared" si="1"/>
        <v>$710 Potluck Dinner • Holiday Special Part 1</v>
      </c>
      <c r="K266" s="11" t="s">
        <v>30</v>
      </c>
      <c r="L266" s="11" t="str">
        <f>VLOOKUP(A266, Map!A:G,2)</f>
        <v>$15 Spaghetti Vs. $143 Spaghetti</v>
      </c>
      <c r="M266" s="11"/>
      <c r="N266" s="2" t="s">
        <v>992</v>
      </c>
      <c r="O266" s="2" t="s">
        <v>992</v>
      </c>
      <c r="P266" s="15"/>
      <c r="Q266" s="15"/>
      <c r="R266" s="15"/>
      <c r="S266" s="15"/>
      <c r="T266" s="15"/>
      <c r="U266" s="2" t="s">
        <v>1442</v>
      </c>
    </row>
    <row r="267">
      <c r="A267" s="2" t="s">
        <v>992</v>
      </c>
      <c r="B267" s="7" t="s">
        <v>745</v>
      </c>
      <c r="C267" s="2" t="s">
        <v>992</v>
      </c>
      <c r="D267" s="2" t="s">
        <v>738</v>
      </c>
      <c r="E267" s="2">
        <v>2.0</v>
      </c>
      <c r="F267" s="12">
        <v>25.0</v>
      </c>
      <c r="G267" s="2" t="s">
        <v>1443</v>
      </c>
      <c r="H267" s="13" t="s">
        <v>749</v>
      </c>
      <c r="I267" s="14">
        <v>43443.0</v>
      </c>
      <c r="J267" s="17" t="str">
        <f t="shared" si="1"/>
        <v>$192 Desserts • Holiday Special Part 2</v>
      </c>
      <c r="K267" s="11" t="s">
        <v>30</v>
      </c>
      <c r="L267" s="11" t="str">
        <f>VLOOKUP(A267, Map!A:G,2)</f>
        <v>$15 Spaghetti Vs. $143 Spaghetti</v>
      </c>
      <c r="M267" s="2"/>
      <c r="N267" s="2" t="s">
        <v>992</v>
      </c>
      <c r="O267" s="2" t="s">
        <v>992</v>
      </c>
      <c r="P267" s="15"/>
      <c r="Q267" s="15"/>
      <c r="R267" s="15"/>
      <c r="S267" s="15"/>
      <c r="T267" s="15"/>
      <c r="U267" s="2" t="s">
        <v>1444</v>
      </c>
    </row>
    <row r="268">
      <c r="A268" s="6" t="str">
        <f t="shared" ref="A268:A271" si="20">HYPERLINK("https://www.thepieholela.com/","The Pie Hole")</f>
        <v>The Pie Hole</v>
      </c>
      <c r="B268" s="7" t="s">
        <v>745</v>
      </c>
      <c r="C268" s="2" t="s">
        <v>992</v>
      </c>
      <c r="D268" s="2" t="s">
        <v>738</v>
      </c>
      <c r="E268" s="2">
        <v>2.0</v>
      </c>
      <c r="F268" s="12">
        <v>40.5</v>
      </c>
      <c r="G268" s="2" t="s">
        <v>1445</v>
      </c>
      <c r="H268" s="13" t="s">
        <v>749</v>
      </c>
      <c r="I268" s="14">
        <v>43443.0</v>
      </c>
      <c r="J268" s="17" t="str">
        <f t="shared" si="1"/>
        <v>$192 Desserts • Holiday Special Part 2</v>
      </c>
      <c r="K268" s="11" t="s">
        <v>30</v>
      </c>
      <c r="L268" s="11" t="str">
        <f>VLOOKUP(A268, Map!A:G,2)</f>
        <v/>
      </c>
      <c r="M268" s="11" t="s">
        <v>748</v>
      </c>
      <c r="N268" s="2" t="s">
        <v>39</v>
      </c>
      <c r="O268" s="2" t="s">
        <v>40</v>
      </c>
      <c r="P268" s="15"/>
      <c r="Q268" s="15"/>
      <c r="R268" s="15"/>
      <c r="S268" s="15"/>
      <c r="T268" s="15"/>
      <c r="U268" s="2" t="s">
        <v>753</v>
      </c>
    </row>
    <row r="269">
      <c r="A269" s="6" t="str">
        <f t="shared" si="20"/>
        <v>The Pie Hole</v>
      </c>
      <c r="B269" s="7" t="s">
        <v>745</v>
      </c>
      <c r="C269" s="2" t="s">
        <v>992</v>
      </c>
      <c r="D269" s="2" t="s">
        <v>738</v>
      </c>
      <c r="E269" s="2">
        <v>2.0</v>
      </c>
      <c r="F269" s="12">
        <v>42.0</v>
      </c>
      <c r="G269" s="2" t="s">
        <v>1446</v>
      </c>
      <c r="H269" s="13" t="s">
        <v>749</v>
      </c>
      <c r="I269" s="14">
        <v>43443.0</v>
      </c>
      <c r="J269" s="17" t="str">
        <f t="shared" si="1"/>
        <v>$192 Desserts • Holiday Special Part 2</v>
      </c>
      <c r="K269" s="11" t="s">
        <v>30</v>
      </c>
      <c r="L269" s="11" t="str">
        <f>VLOOKUP(A269, Map!A:G,2)</f>
        <v/>
      </c>
      <c r="M269" s="11" t="s">
        <v>748</v>
      </c>
      <c r="N269" s="2" t="s">
        <v>39</v>
      </c>
      <c r="O269" s="2" t="s">
        <v>40</v>
      </c>
      <c r="P269" s="15"/>
      <c r="Q269" s="15"/>
      <c r="R269" s="15"/>
      <c r="S269" s="15"/>
      <c r="T269" s="15"/>
      <c r="U269" s="2" t="s">
        <v>753</v>
      </c>
    </row>
    <row r="270">
      <c r="A270" s="6" t="str">
        <f t="shared" si="20"/>
        <v>The Pie Hole</v>
      </c>
      <c r="B270" s="7" t="s">
        <v>745</v>
      </c>
      <c r="C270" s="2" t="s">
        <v>992</v>
      </c>
      <c r="D270" s="2" t="s">
        <v>738</v>
      </c>
      <c r="E270" s="2">
        <v>2.0</v>
      </c>
      <c r="F270" s="12">
        <v>42.0</v>
      </c>
      <c r="G270" s="2" t="s">
        <v>1447</v>
      </c>
      <c r="H270" s="13" t="s">
        <v>749</v>
      </c>
      <c r="I270" s="14">
        <v>43443.0</v>
      </c>
      <c r="J270" s="17" t="str">
        <f t="shared" si="1"/>
        <v>$192 Desserts • Holiday Special Part 2</v>
      </c>
      <c r="K270" s="11" t="s">
        <v>30</v>
      </c>
      <c r="L270" s="11" t="str">
        <f>VLOOKUP(A270, Map!A:G,2)</f>
        <v/>
      </c>
      <c r="M270" s="11" t="s">
        <v>748</v>
      </c>
      <c r="N270" s="2" t="s">
        <v>39</v>
      </c>
      <c r="O270" s="2" t="s">
        <v>40</v>
      </c>
      <c r="P270" s="15"/>
      <c r="Q270" s="15"/>
      <c r="R270" s="15"/>
      <c r="S270" s="15"/>
      <c r="T270" s="15"/>
      <c r="U270" s="2" t="s">
        <v>753</v>
      </c>
    </row>
    <row r="271">
      <c r="A271" s="6" t="str">
        <f t="shared" si="20"/>
        <v>The Pie Hole</v>
      </c>
      <c r="B271" s="7" t="s">
        <v>745</v>
      </c>
      <c r="C271" s="2" t="s">
        <v>992</v>
      </c>
      <c r="D271" s="2" t="s">
        <v>738</v>
      </c>
      <c r="E271" s="2">
        <v>2.0</v>
      </c>
      <c r="F271" s="12">
        <v>42.0</v>
      </c>
      <c r="G271" s="2" t="s">
        <v>1448</v>
      </c>
      <c r="H271" s="13" t="s">
        <v>749</v>
      </c>
      <c r="I271" s="14">
        <v>43443.0</v>
      </c>
      <c r="J271" s="17" t="str">
        <f t="shared" si="1"/>
        <v>$192 Desserts • Holiday Special Part 2</v>
      </c>
      <c r="K271" s="11" t="s">
        <v>30</v>
      </c>
      <c r="L271" s="11" t="str">
        <f>VLOOKUP(A271, Map!A:G,2)</f>
        <v/>
      </c>
      <c r="M271" s="11" t="s">
        <v>748</v>
      </c>
      <c r="N271" s="2" t="s">
        <v>39</v>
      </c>
      <c r="O271" s="2" t="s">
        <v>40</v>
      </c>
      <c r="P271" s="15"/>
      <c r="Q271" s="15"/>
      <c r="R271" s="15"/>
      <c r="S271" s="15"/>
      <c r="T271" s="15"/>
      <c r="U271" s="2" t="s">
        <v>753</v>
      </c>
    </row>
    <row r="272">
      <c r="A272" s="6" t="str">
        <f t="shared" ref="A272:A273" si="21">HYPERLINK("https://www.acabutchershop.com/","A Cut Above Butcher Shop")</f>
        <v>A Cut Above Butcher Shop</v>
      </c>
      <c r="B272" s="7" t="s">
        <v>755</v>
      </c>
      <c r="C272" s="2" t="s">
        <v>992</v>
      </c>
      <c r="D272" s="2" t="s">
        <v>738</v>
      </c>
      <c r="E272" s="2">
        <v>3.0</v>
      </c>
      <c r="F272" s="12">
        <v>13.25</v>
      </c>
      <c r="G272" s="2" t="s">
        <v>1449</v>
      </c>
      <c r="H272" s="13" t="s">
        <v>759</v>
      </c>
      <c r="I272" s="14">
        <v>43450.0</v>
      </c>
      <c r="J272" s="17" t="str">
        <f t="shared" si="1"/>
        <v>$347 Prime Rib • Holiday Special Part 3</v>
      </c>
      <c r="K272" s="11" t="s">
        <v>30</v>
      </c>
      <c r="L272" s="11" t="str">
        <f>VLOOKUP(A272, Map!A:G,2)</f>
        <v>#N/A</v>
      </c>
      <c r="M272" s="11" t="s">
        <v>758</v>
      </c>
      <c r="N272" s="2" t="s">
        <v>39</v>
      </c>
      <c r="O272" s="2" t="s">
        <v>40</v>
      </c>
      <c r="P272" s="15"/>
      <c r="Q272" s="15"/>
      <c r="R272" s="15"/>
      <c r="S272" s="15"/>
      <c r="T272" s="15"/>
      <c r="U272" s="15"/>
    </row>
    <row r="273">
      <c r="A273" s="6" t="str">
        <f t="shared" si="21"/>
        <v>A Cut Above Butcher Shop</v>
      </c>
      <c r="B273" s="7" t="s">
        <v>755</v>
      </c>
      <c r="C273" s="2" t="s">
        <v>992</v>
      </c>
      <c r="D273" s="2" t="s">
        <v>738</v>
      </c>
      <c r="E273" s="2">
        <v>3.0</v>
      </c>
      <c r="F273" s="12">
        <v>347.19</v>
      </c>
      <c r="G273" s="2" t="s">
        <v>1450</v>
      </c>
      <c r="H273" s="13" t="s">
        <v>759</v>
      </c>
      <c r="I273" s="14">
        <v>43450.0</v>
      </c>
      <c r="J273" s="17" t="str">
        <f t="shared" si="1"/>
        <v>$347 Prime Rib • Holiday Special Part 3</v>
      </c>
      <c r="K273" s="11" t="s">
        <v>30</v>
      </c>
      <c r="L273" s="11" t="str">
        <f>VLOOKUP(A273, Map!A:G,2)</f>
        <v>#N/A</v>
      </c>
      <c r="M273" s="11" t="s">
        <v>758</v>
      </c>
      <c r="N273" s="2" t="s">
        <v>39</v>
      </c>
      <c r="O273" s="2" t="s">
        <v>40</v>
      </c>
      <c r="P273" s="15"/>
      <c r="Q273" s="15"/>
      <c r="R273" s="15"/>
      <c r="S273" s="15"/>
      <c r="T273" s="15"/>
      <c r="U273" s="2" t="s">
        <v>1451</v>
      </c>
    </row>
    <row r="274">
      <c r="A274" s="6" t="str">
        <f>HYPERLINK("https://www.yelp.com/biz/sinuiju-chapssal-soondae-los-angeles","CLOSED Sinuiji Chapsal Soonae")</f>
        <v>CLOSED Sinuiji Chapsal Soonae</v>
      </c>
      <c r="B274" s="7" t="s">
        <v>755</v>
      </c>
      <c r="C274" s="2" t="s">
        <v>992</v>
      </c>
      <c r="D274" s="2" t="s">
        <v>738</v>
      </c>
      <c r="E274" s="2">
        <v>3.0</v>
      </c>
      <c r="F274" s="12">
        <v>10.99</v>
      </c>
      <c r="G274" s="2" t="s">
        <v>1452</v>
      </c>
      <c r="H274" s="13" t="s">
        <v>759</v>
      </c>
      <c r="I274" s="14">
        <v>43450.0</v>
      </c>
      <c r="J274" s="17" t="str">
        <f t="shared" si="1"/>
        <v>$347 Prime Rib • Holiday Special Part 3</v>
      </c>
      <c r="K274" s="11" t="s">
        <v>30</v>
      </c>
      <c r="L274" s="11" t="str">
        <f>VLOOKUP(A274, Map!A:G,2)</f>
        <v>$5 Pizza Vs. $135 Pizza</v>
      </c>
      <c r="M274" s="11" t="s">
        <v>764</v>
      </c>
      <c r="N274" s="2" t="s">
        <v>39</v>
      </c>
      <c r="O274" s="2" t="s">
        <v>40</v>
      </c>
      <c r="P274" s="15"/>
      <c r="Q274" s="15"/>
      <c r="R274" s="15"/>
      <c r="S274" s="15"/>
      <c r="T274" s="15"/>
      <c r="U274" s="15"/>
    </row>
    <row r="275">
      <c r="A275" s="2" t="s">
        <v>992</v>
      </c>
      <c r="B275" s="7" t="s">
        <v>755</v>
      </c>
      <c r="C275" s="2" t="s">
        <v>992</v>
      </c>
      <c r="D275" s="2" t="s">
        <v>738</v>
      </c>
      <c r="E275" s="2">
        <v>3.0</v>
      </c>
      <c r="F275" s="12" t="s">
        <v>992</v>
      </c>
      <c r="G275" s="2" t="s">
        <v>1453</v>
      </c>
      <c r="H275" s="13" t="s">
        <v>759</v>
      </c>
      <c r="I275" s="14">
        <v>43450.0</v>
      </c>
      <c r="J275" s="17" t="str">
        <f t="shared" si="1"/>
        <v>$347 Prime Rib • Holiday Special Part 3</v>
      </c>
      <c r="K275" s="11" t="s">
        <v>30</v>
      </c>
      <c r="L275" s="11" t="str">
        <f>VLOOKUP(A275, Map!A:G,2)</f>
        <v>$15 Spaghetti Vs. $143 Spaghetti</v>
      </c>
      <c r="M275" s="2"/>
      <c r="N275" s="2" t="s">
        <v>992</v>
      </c>
      <c r="O275" s="2" t="s">
        <v>992</v>
      </c>
      <c r="P275" s="15"/>
      <c r="Q275" s="15"/>
      <c r="R275" s="15"/>
      <c r="S275" s="15"/>
      <c r="T275" s="15"/>
      <c r="U275" s="2" t="s">
        <v>1454</v>
      </c>
    </row>
    <row r="276">
      <c r="A276" s="6" t="str">
        <f>HYPERLINK("https://isetan.mistore.jp/store/shinjuku/foreign_customer/index.html","Isetan Department Store")</f>
        <v>Isetan Department Store</v>
      </c>
      <c r="B276" s="7" t="s">
        <v>439</v>
      </c>
      <c r="C276" s="2" t="s">
        <v>992</v>
      </c>
      <c r="D276" s="2" t="s">
        <v>440</v>
      </c>
      <c r="E276" s="2">
        <v>1.0</v>
      </c>
      <c r="F276" s="12">
        <v>1977.0</v>
      </c>
      <c r="G276" s="2" t="s">
        <v>1455</v>
      </c>
      <c r="H276" s="13" t="s">
        <v>444</v>
      </c>
      <c r="I276" s="14">
        <v>43057.0</v>
      </c>
      <c r="J276" s="13" t="str">
        <f t="shared" si="1"/>
        <v>$1,977 Japanese Grapes</v>
      </c>
      <c r="K276" s="11" t="s">
        <v>30</v>
      </c>
      <c r="L276" s="11" t="str">
        <f>VLOOKUP(A276, Map!A:G,2)</f>
        <v>$5 Pizza Vs. $135 Pizza</v>
      </c>
      <c r="M276" s="11" t="s">
        <v>443</v>
      </c>
      <c r="N276" s="2" t="s">
        <v>620</v>
      </c>
      <c r="O276" s="2" t="s">
        <v>621</v>
      </c>
      <c r="P276" s="15"/>
      <c r="Q276" s="15"/>
      <c r="R276" s="15"/>
      <c r="S276" s="15"/>
      <c r="T276" s="15"/>
      <c r="U276" s="15"/>
    </row>
    <row r="277">
      <c r="A277" s="6" t="str">
        <f>HYPERLINK("https://providencela.com/","Providence")</f>
        <v>Providence</v>
      </c>
      <c r="B277" s="7" t="s">
        <v>447</v>
      </c>
      <c r="C277" s="2" t="s">
        <v>992</v>
      </c>
      <c r="D277" s="2" t="s">
        <v>440</v>
      </c>
      <c r="E277" s="2">
        <v>2.0</v>
      </c>
      <c r="F277" s="12">
        <v>210.0</v>
      </c>
      <c r="G277" s="2" t="s">
        <v>1456</v>
      </c>
      <c r="H277" s="13" t="s">
        <v>451</v>
      </c>
      <c r="I277" s="14">
        <v>43099.0</v>
      </c>
      <c r="J277" s="17" t="str">
        <f t="shared" si="1"/>
        <v>$210 7-Course Seafood Dinner</v>
      </c>
      <c r="K277" s="11" t="s">
        <v>30</v>
      </c>
      <c r="L277" s="11" t="str">
        <f>VLOOKUP(A277, Map!A:G,2)</f>
        <v/>
      </c>
      <c r="M277" s="11" t="s">
        <v>450</v>
      </c>
      <c r="N277" s="2" t="s">
        <v>39</v>
      </c>
      <c r="O277" s="2" t="s">
        <v>40</v>
      </c>
      <c r="P277" s="15"/>
      <c r="Q277" s="15"/>
      <c r="R277" s="15"/>
      <c r="S277" s="15"/>
      <c r="T277" s="15"/>
      <c r="U277" s="15"/>
    </row>
    <row r="278">
      <c r="A278" s="6" t="str">
        <f>HYPERLINK("http://www.masuzushi.com","Nikko Masuzushi Honpo")</f>
        <v>Nikko Masuzushi Honpo</v>
      </c>
      <c r="B278" s="7" t="s">
        <v>765</v>
      </c>
      <c r="C278" s="2" t="s">
        <v>992</v>
      </c>
      <c r="D278" s="2" t="s">
        <v>440</v>
      </c>
      <c r="E278" s="2">
        <v>3.0</v>
      </c>
      <c r="F278" s="12">
        <v>1593.0</v>
      </c>
      <c r="G278" s="2" t="s">
        <v>1457</v>
      </c>
      <c r="H278" s="13" t="s">
        <v>770</v>
      </c>
      <c r="I278" s="14">
        <v>43541.0</v>
      </c>
      <c r="J278" s="17" t="str">
        <f t="shared" si="1"/>
        <v>$1,593 Bento Box • Japan</v>
      </c>
      <c r="K278" s="11" t="s">
        <v>30</v>
      </c>
      <c r="L278" s="11" t="str">
        <f>VLOOKUP(A278, Map!A:G,2)</f>
        <v>$15 Spaghetti Vs. $143 Spaghetti</v>
      </c>
      <c r="M278" s="11" t="s">
        <v>769</v>
      </c>
      <c r="N278" s="2" t="s">
        <v>1458</v>
      </c>
      <c r="O278" s="2" t="s">
        <v>621</v>
      </c>
      <c r="P278" s="15"/>
      <c r="Q278" s="15"/>
      <c r="R278" s="15"/>
      <c r="S278" s="15"/>
      <c r="T278" s="15"/>
      <c r="U278" s="15"/>
    </row>
    <row r="279">
      <c r="A279" s="16" t="s">
        <v>774</v>
      </c>
      <c r="B279" s="7" t="s">
        <v>776</v>
      </c>
      <c r="C279" s="15"/>
      <c r="D279" s="2" t="s">
        <v>440</v>
      </c>
      <c r="E279" s="2">
        <v>4.0</v>
      </c>
      <c r="F279" s="12">
        <v>840.0</v>
      </c>
      <c r="G279" s="2" t="s">
        <v>1459</v>
      </c>
      <c r="H279" s="13" t="s">
        <v>780</v>
      </c>
      <c r="I279" s="14">
        <v>43548.0</v>
      </c>
      <c r="J279" s="17" t="str">
        <f t="shared" si="1"/>
        <v>We Put Our Friend’s Face On 3,500 Pieces of Candy</v>
      </c>
      <c r="K279" s="11" t="s">
        <v>30</v>
      </c>
      <c r="L279" s="11" t="str">
        <f>VLOOKUP(A279, Map!A:G,2)</f>
        <v>$15 Spaghetti Vs. $143 Spaghetti</v>
      </c>
      <c r="M279" s="2" t="s">
        <v>779</v>
      </c>
      <c r="N279" s="2" t="s">
        <v>1460</v>
      </c>
      <c r="O279" s="2" t="s">
        <v>621</v>
      </c>
      <c r="P279" s="2"/>
      <c r="Q279" s="2"/>
      <c r="R279" s="2"/>
      <c r="S279" s="2"/>
      <c r="T279" s="2" t="s">
        <v>1461</v>
      </c>
      <c r="U279" s="2" t="s">
        <v>782</v>
      </c>
    </row>
    <row r="280">
      <c r="A280" s="6" t="str">
        <f>HYPERLINK("https://aplrestaurant.com/","APL")</f>
        <v>APL</v>
      </c>
      <c r="B280" s="28" t="s">
        <v>1462</v>
      </c>
      <c r="C280" s="2"/>
      <c r="D280" s="49" t="s">
        <v>440</v>
      </c>
      <c r="E280" s="50">
        <v>5.0</v>
      </c>
      <c r="F280" s="12">
        <v>132.0</v>
      </c>
      <c r="G280" s="2" t="s">
        <v>1463</v>
      </c>
      <c r="H280" s="39" t="s">
        <v>1464</v>
      </c>
      <c r="I280" s="27">
        <v>43555.0</v>
      </c>
      <c r="J280" s="13" t="str">
        <f t="shared" si="1"/>
        <v>Eating A $132 Steak With A $950.01 Knife</v>
      </c>
      <c r="K280" s="11" t="s">
        <v>30</v>
      </c>
      <c r="L280" s="11" t="str">
        <f>VLOOKUP(A280, Map!A:G,2)</f>
        <v>#N/A</v>
      </c>
      <c r="M280" s="11" t="s">
        <v>885</v>
      </c>
      <c r="N280" s="2" t="s">
        <v>39</v>
      </c>
      <c r="O280" s="25" t="s">
        <v>40</v>
      </c>
      <c r="P280" s="15"/>
      <c r="Q280" s="2"/>
      <c r="R280" s="2"/>
      <c r="S280" s="15"/>
      <c r="T280" s="15"/>
      <c r="U280" s="2" t="s">
        <v>1465</v>
      </c>
    </row>
    <row r="281">
      <c r="A281" s="16" t="s">
        <v>1101</v>
      </c>
      <c r="B281" s="7" t="s">
        <v>1103</v>
      </c>
      <c r="C281" s="2" t="s">
        <v>41</v>
      </c>
      <c r="D281" s="2" t="s">
        <v>1104</v>
      </c>
      <c r="E281" s="2">
        <v>1.0</v>
      </c>
      <c r="F281" s="12">
        <v>3.0</v>
      </c>
      <c r="G281" s="2" t="s">
        <v>1466</v>
      </c>
      <c r="H281" s="13" t="s">
        <v>1108</v>
      </c>
      <c r="I281" s="14">
        <v>43968.0</v>
      </c>
      <c r="J281" s="13" t="str">
        <f t="shared" si="1"/>
        <v>$3 Takeout Vs. $129 Takeout</v>
      </c>
      <c r="K281" s="11" t="s">
        <v>30</v>
      </c>
      <c r="L281" s="11" t="str">
        <f>VLOOKUP(A281, Map!A:G,2)</f>
        <v>$5 Pizza Vs. $135 Pizza</v>
      </c>
      <c r="M281" s="2" t="s">
        <v>1107</v>
      </c>
      <c r="N281" s="2" t="s">
        <v>39</v>
      </c>
      <c r="O281" s="2" t="s">
        <v>40</v>
      </c>
      <c r="P281" s="15"/>
      <c r="Q281" s="15"/>
      <c r="R281" s="15"/>
      <c r="S281" s="15"/>
      <c r="T281" s="15"/>
      <c r="U281" s="2" t="s">
        <v>1110</v>
      </c>
    </row>
    <row r="282">
      <c r="A282" s="16" t="s">
        <v>1310</v>
      </c>
      <c r="B282" s="7" t="s">
        <v>1103</v>
      </c>
      <c r="C282" s="2" t="s">
        <v>21</v>
      </c>
      <c r="D282" s="2" t="s">
        <v>1104</v>
      </c>
      <c r="E282" s="2">
        <v>1.0</v>
      </c>
      <c r="F282" s="12">
        <v>30.0</v>
      </c>
      <c r="G282" s="2" t="s">
        <v>1467</v>
      </c>
      <c r="H282" s="13" t="s">
        <v>1108</v>
      </c>
      <c r="I282" s="14">
        <v>43968.0</v>
      </c>
      <c r="J282" s="13" t="str">
        <f t="shared" si="1"/>
        <v>$3 Takeout Vs. $129 Takeout</v>
      </c>
      <c r="K282" s="11" t="s">
        <v>30</v>
      </c>
      <c r="L282" s="11" t="str">
        <f>VLOOKUP(A282, Map!A:G,2)</f>
        <v>$15 Spaghetti Vs. $143 Spaghetti</v>
      </c>
      <c r="M282" s="2" t="s">
        <v>1179</v>
      </c>
      <c r="N282" s="2" t="s">
        <v>39</v>
      </c>
      <c r="O282" s="2" t="s">
        <v>40</v>
      </c>
      <c r="P282" s="15"/>
      <c r="Q282" s="15"/>
      <c r="R282" s="15"/>
      <c r="S282" s="15"/>
      <c r="T282" s="15"/>
      <c r="U282" s="15"/>
    </row>
    <row r="283">
      <c r="A283" s="16" t="s">
        <v>1083</v>
      </c>
      <c r="B283" s="7" t="s">
        <v>1103</v>
      </c>
      <c r="C283" s="2" t="s">
        <v>33</v>
      </c>
      <c r="D283" s="2" t="s">
        <v>1104</v>
      </c>
      <c r="E283" s="2">
        <v>1.0</v>
      </c>
      <c r="F283" s="12">
        <v>129.0</v>
      </c>
      <c r="G283" s="2" t="s">
        <v>1468</v>
      </c>
      <c r="H283" s="13" t="s">
        <v>1108</v>
      </c>
      <c r="I283" s="14">
        <v>43968.0</v>
      </c>
      <c r="J283" s="13" t="str">
        <f t="shared" si="1"/>
        <v>$3 Takeout Vs. $129 Takeout</v>
      </c>
      <c r="K283" s="11" t="s">
        <v>30</v>
      </c>
      <c r="L283" s="11" t="str">
        <f>VLOOKUP(A283, Map!A:G,2)</f>
        <v/>
      </c>
      <c r="M283" s="2" t="s">
        <v>1090</v>
      </c>
      <c r="N283" s="2" t="s">
        <v>39</v>
      </c>
      <c r="O283" s="2" t="s">
        <v>40</v>
      </c>
      <c r="P283" s="15"/>
      <c r="Q283" s="15"/>
      <c r="R283" s="15"/>
      <c r="S283" s="15"/>
      <c r="T283" s="15"/>
      <c r="U283" s="15"/>
    </row>
    <row r="284">
      <c r="A284" s="33" t="s">
        <v>1231</v>
      </c>
      <c r="B284" s="38" t="s">
        <v>1235</v>
      </c>
      <c r="C284" s="2" t="s">
        <v>21</v>
      </c>
      <c r="D284" s="2" t="s">
        <v>1104</v>
      </c>
      <c r="E284" s="2">
        <v>2.0</v>
      </c>
      <c r="F284" s="12">
        <v>5.0</v>
      </c>
      <c r="G284" s="51" t="s">
        <v>1469</v>
      </c>
      <c r="H284" s="31" t="s">
        <v>1240</v>
      </c>
      <c r="I284" s="32">
        <v>44136.0</v>
      </c>
      <c r="J284" s="13" t="str">
        <f t="shared" si="1"/>
        <v>$7 Picnic Vs. $323 Picnic</v>
      </c>
      <c r="K284" s="11" t="s">
        <v>30</v>
      </c>
      <c r="L284" s="11" t="str">
        <f>VLOOKUP(A284, Map!A:G,2)</f>
        <v>$15 Spaghetti Vs. $143 Spaghetti</v>
      </c>
      <c r="M284" s="2" t="s">
        <v>1239</v>
      </c>
      <c r="N284" s="2" t="s">
        <v>39</v>
      </c>
      <c r="O284" s="2" t="s">
        <v>40</v>
      </c>
      <c r="P284" s="2">
        <v>1.0</v>
      </c>
      <c r="Q284" s="2">
        <v>1.0</v>
      </c>
      <c r="R284" s="15"/>
      <c r="S284" s="15"/>
      <c r="T284" s="2">
        <v>2.0</v>
      </c>
      <c r="U284" s="15"/>
    </row>
    <row r="285">
      <c r="A285" s="33" t="s">
        <v>1231</v>
      </c>
      <c r="B285" s="38" t="s">
        <v>1235</v>
      </c>
      <c r="C285" s="2" t="s">
        <v>21</v>
      </c>
      <c r="D285" s="2" t="s">
        <v>1104</v>
      </c>
      <c r="E285" s="2">
        <v>2.0</v>
      </c>
      <c r="F285" s="12">
        <v>5.0</v>
      </c>
      <c r="G285" s="2" t="s">
        <v>1470</v>
      </c>
      <c r="H285" s="31" t="s">
        <v>1240</v>
      </c>
      <c r="I285" s="32">
        <v>44136.0</v>
      </c>
      <c r="J285" s="13" t="str">
        <f t="shared" si="1"/>
        <v>$7 Picnic Vs. $323 Picnic</v>
      </c>
      <c r="K285" s="11" t="s">
        <v>30</v>
      </c>
      <c r="L285" s="11" t="str">
        <f>VLOOKUP(A285, Map!A:G,2)</f>
        <v>$15 Spaghetti Vs. $143 Spaghetti</v>
      </c>
      <c r="M285" s="2" t="s">
        <v>1239</v>
      </c>
      <c r="N285" s="2" t="s">
        <v>39</v>
      </c>
      <c r="O285" s="2" t="s">
        <v>40</v>
      </c>
      <c r="P285" s="2">
        <v>1.0</v>
      </c>
      <c r="Q285" s="2">
        <v>1.0</v>
      </c>
      <c r="R285" s="15"/>
      <c r="S285" s="15"/>
      <c r="T285" s="2">
        <v>2.0</v>
      </c>
      <c r="U285" s="15"/>
    </row>
    <row r="286">
      <c r="A286" s="33" t="s">
        <v>1231</v>
      </c>
      <c r="B286" s="38" t="s">
        <v>1235</v>
      </c>
      <c r="C286" s="2" t="s">
        <v>21</v>
      </c>
      <c r="D286" s="2" t="s">
        <v>1104</v>
      </c>
      <c r="E286" s="2">
        <v>2.0</v>
      </c>
      <c r="F286" s="12">
        <v>5.5</v>
      </c>
      <c r="G286" s="2" t="s">
        <v>1471</v>
      </c>
      <c r="H286" s="31" t="s">
        <v>1240</v>
      </c>
      <c r="I286" s="32">
        <v>44136.0</v>
      </c>
      <c r="J286" s="13" t="str">
        <f t="shared" si="1"/>
        <v>$7 Picnic Vs. $323 Picnic</v>
      </c>
      <c r="K286" s="11" t="s">
        <v>30</v>
      </c>
      <c r="L286" s="11" t="str">
        <f>VLOOKUP(A286, Map!A:G,2)</f>
        <v>$15 Spaghetti Vs. $143 Spaghetti</v>
      </c>
      <c r="M286" s="2" t="s">
        <v>1239</v>
      </c>
      <c r="N286" s="2" t="s">
        <v>39</v>
      </c>
      <c r="O286" s="2" t="s">
        <v>40</v>
      </c>
      <c r="P286" s="2">
        <v>1.0</v>
      </c>
      <c r="Q286" s="2">
        <v>1.0</v>
      </c>
      <c r="R286" s="15"/>
      <c r="S286" s="15"/>
      <c r="T286" s="2">
        <v>2.0</v>
      </c>
      <c r="U286" s="2" t="s">
        <v>1472</v>
      </c>
    </row>
    <row r="287">
      <c r="A287" s="16" t="s">
        <v>1243</v>
      </c>
      <c r="B287" s="38" t="s">
        <v>1235</v>
      </c>
      <c r="C287" s="2" t="s">
        <v>33</v>
      </c>
      <c r="D287" s="2" t="s">
        <v>1104</v>
      </c>
      <c r="E287" s="2">
        <v>2.0</v>
      </c>
      <c r="F287" s="12">
        <v>18.0</v>
      </c>
      <c r="G287" s="2" t="s">
        <v>1473</v>
      </c>
      <c r="H287" s="31" t="s">
        <v>1240</v>
      </c>
      <c r="I287" s="32">
        <v>44136.0</v>
      </c>
      <c r="J287" s="13" t="str">
        <f t="shared" si="1"/>
        <v>$7 Picnic Vs. $323 Picnic</v>
      </c>
      <c r="K287" s="11" t="s">
        <v>30</v>
      </c>
      <c r="L287" s="11" t="str">
        <f>VLOOKUP(A287, Map!A:G,2)</f>
        <v>$15 Spaghetti Vs. $143 Spaghetti</v>
      </c>
      <c r="M287" s="2" t="s">
        <v>1246</v>
      </c>
      <c r="N287" s="2" t="s">
        <v>39</v>
      </c>
      <c r="O287" s="2" t="s">
        <v>40</v>
      </c>
      <c r="P287" s="15"/>
      <c r="Q287" s="15"/>
      <c r="R287" s="15"/>
      <c r="S287" s="15"/>
      <c r="T287" s="15"/>
      <c r="U287" s="15"/>
    </row>
    <row r="288">
      <c r="A288" s="16" t="s">
        <v>1243</v>
      </c>
      <c r="B288" s="38" t="s">
        <v>1235</v>
      </c>
      <c r="C288" s="2" t="s">
        <v>33</v>
      </c>
      <c r="D288" s="2" t="s">
        <v>1104</v>
      </c>
      <c r="E288" s="2">
        <v>2.0</v>
      </c>
      <c r="F288" s="12">
        <v>120.0</v>
      </c>
      <c r="G288" s="2" t="s">
        <v>1474</v>
      </c>
      <c r="H288" s="31" t="s">
        <v>1240</v>
      </c>
      <c r="I288" s="32">
        <v>44136.0</v>
      </c>
      <c r="J288" s="13" t="str">
        <f t="shared" si="1"/>
        <v>$7 Picnic Vs. $323 Picnic</v>
      </c>
      <c r="K288" s="11" t="s">
        <v>30</v>
      </c>
      <c r="L288" s="11" t="str">
        <f>VLOOKUP(A288, Map!A:G,2)</f>
        <v>$15 Spaghetti Vs. $143 Spaghetti</v>
      </c>
      <c r="M288" s="2" t="s">
        <v>1246</v>
      </c>
      <c r="N288" s="2" t="s">
        <v>39</v>
      </c>
      <c r="O288" s="2" t="s">
        <v>40</v>
      </c>
      <c r="P288" s="15"/>
      <c r="Q288" s="15"/>
      <c r="R288" s="15"/>
      <c r="S288" s="15"/>
      <c r="T288" s="15"/>
      <c r="U288" s="15"/>
    </row>
    <row r="289">
      <c r="A289" s="16" t="s">
        <v>1243</v>
      </c>
      <c r="B289" s="38" t="s">
        <v>1235</v>
      </c>
      <c r="C289" s="2" t="s">
        <v>33</v>
      </c>
      <c r="D289" s="2" t="s">
        <v>1104</v>
      </c>
      <c r="E289" s="2">
        <v>2.0</v>
      </c>
      <c r="F289" s="12">
        <v>185.0</v>
      </c>
      <c r="G289" s="2" t="s">
        <v>1475</v>
      </c>
      <c r="H289" s="31" t="s">
        <v>1240</v>
      </c>
      <c r="I289" s="32">
        <v>44136.0</v>
      </c>
      <c r="J289" s="13" t="str">
        <f t="shared" si="1"/>
        <v>$7 Picnic Vs. $323 Picnic</v>
      </c>
      <c r="K289" s="11" t="s">
        <v>30</v>
      </c>
      <c r="L289" s="11" t="str">
        <f>VLOOKUP(A289, Map!A:G,2)</f>
        <v>$15 Spaghetti Vs. $143 Spaghetti</v>
      </c>
      <c r="M289" s="2" t="s">
        <v>1246</v>
      </c>
      <c r="N289" s="2" t="s">
        <v>39</v>
      </c>
      <c r="O289" s="2" t="s">
        <v>40</v>
      </c>
      <c r="P289" s="15"/>
      <c r="Q289" s="15"/>
      <c r="R289" s="15"/>
      <c r="S289" s="15"/>
      <c r="T289" s="15"/>
      <c r="U289" s="15"/>
    </row>
    <row r="290">
      <c r="A290" s="16" t="s">
        <v>1247</v>
      </c>
      <c r="B290" s="38" t="s">
        <v>1235</v>
      </c>
      <c r="C290" s="2" t="s">
        <v>41</v>
      </c>
      <c r="D290" s="2" t="s">
        <v>1104</v>
      </c>
      <c r="E290" s="2">
        <v>2.0</v>
      </c>
      <c r="F290" s="12">
        <v>6.99</v>
      </c>
      <c r="G290" s="37" t="s">
        <v>1247</v>
      </c>
      <c r="H290" s="31" t="s">
        <v>1240</v>
      </c>
      <c r="I290" s="32">
        <v>44136.0</v>
      </c>
      <c r="J290" s="13" t="str">
        <f t="shared" si="1"/>
        <v>$7 Picnic Vs. $323 Picnic</v>
      </c>
      <c r="K290" s="11" t="s">
        <v>30</v>
      </c>
      <c r="L290" s="11" t="str">
        <f>VLOOKUP(A290, Map!A:G,2)</f>
        <v/>
      </c>
      <c r="M290" s="2" t="s">
        <v>1251</v>
      </c>
      <c r="N290" s="2" t="s">
        <v>39</v>
      </c>
      <c r="O290" s="2" t="s">
        <v>40</v>
      </c>
      <c r="P290" s="15"/>
      <c r="Q290" s="15"/>
      <c r="R290" s="2">
        <v>1.0</v>
      </c>
      <c r="S290" s="15"/>
      <c r="T290" s="2">
        <v>1.0</v>
      </c>
      <c r="U290" s="2" t="s">
        <v>1253</v>
      </c>
    </row>
    <row r="291">
      <c r="A291" s="16" t="s">
        <v>1254</v>
      </c>
      <c r="B291" s="22" t="s">
        <v>1255</v>
      </c>
      <c r="C291" s="2" t="s">
        <v>33</v>
      </c>
      <c r="D291" s="2" t="s">
        <v>1104</v>
      </c>
      <c r="E291" s="22">
        <v>3.0</v>
      </c>
      <c r="F291" s="12">
        <v>55.0</v>
      </c>
      <c r="G291" s="2" t="s">
        <v>1476</v>
      </c>
      <c r="H291" s="39" t="s">
        <v>1260</v>
      </c>
      <c r="I291" s="27">
        <v>44143.0</v>
      </c>
      <c r="J291" s="13" t="str">
        <f t="shared" si="1"/>
        <v>$1 Savory Pie Vs. $55 Savory Pie</v>
      </c>
      <c r="K291" s="11" t="s">
        <v>30</v>
      </c>
      <c r="L291" s="11" t="str">
        <f>VLOOKUP(A291, Map!A:G,2)</f>
        <v>$5 Pizza Vs. $135 Pizza</v>
      </c>
      <c r="M291" s="2" t="s">
        <v>1259</v>
      </c>
      <c r="N291" s="2" t="s">
        <v>39</v>
      </c>
      <c r="O291" s="25" t="s">
        <v>40</v>
      </c>
      <c r="P291" s="15"/>
      <c r="Q291" s="15"/>
      <c r="R291" s="15"/>
      <c r="S291" s="15"/>
      <c r="T291" s="15"/>
      <c r="U291" s="15"/>
    </row>
    <row r="292">
      <c r="A292" s="21" t="s">
        <v>1261</v>
      </c>
      <c r="B292" s="22" t="s">
        <v>1255</v>
      </c>
      <c r="C292" s="2" t="s">
        <v>41</v>
      </c>
      <c r="D292" s="2" t="s">
        <v>1104</v>
      </c>
      <c r="E292" s="22">
        <v>3.0</v>
      </c>
      <c r="F292" s="12">
        <v>5.0</v>
      </c>
      <c r="G292" s="2" t="s">
        <v>1477</v>
      </c>
      <c r="H292" s="39" t="s">
        <v>1260</v>
      </c>
      <c r="I292" s="27">
        <v>44143.0</v>
      </c>
      <c r="J292" s="13" t="str">
        <f t="shared" si="1"/>
        <v>$1 Savory Pie Vs. $55 Savory Pie</v>
      </c>
      <c r="K292" s="11" t="s">
        <v>30</v>
      </c>
      <c r="L292" s="11" t="str">
        <f>VLOOKUP(A292, Map!A:G,2)</f>
        <v/>
      </c>
      <c r="M292" s="11" t="s">
        <v>1266</v>
      </c>
      <c r="N292" s="2" t="s">
        <v>39</v>
      </c>
      <c r="O292" s="25" t="s">
        <v>40</v>
      </c>
      <c r="P292" s="15"/>
      <c r="Q292" s="15"/>
      <c r="R292" s="2">
        <v>1.0</v>
      </c>
      <c r="S292" s="15"/>
      <c r="T292" s="2">
        <v>1.0</v>
      </c>
      <c r="U292" s="15"/>
    </row>
    <row r="293">
      <c r="A293" s="16" t="s">
        <v>1268</v>
      </c>
      <c r="B293" s="22" t="s">
        <v>1255</v>
      </c>
      <c r="C293" s="2" t="s">
        <v>21</v>
      </c>
      <c r="D293" s="2" t="s">
        <v>1104</v>
      </c>
      <c r="E293" s="22">
        <v>3.0</v>
      </c>
      <c r="F293" s="12">
        <v>15.0</v>
      </c>
      <c r="G293" s="2" t="s">
        <v>1478</v>
      </c>
      <c r="H293" s="39" t="s">
        <v>1260</v>
      </c>
      <c r="I293" s="27">
        <v>44143.0</v>
      </c>
      <c r="J293" s="13" t="str">
        <f t="shared" si="1"/>
        <v>$1 Savory Pie Vs. $55 Savory Pie</v>
      </c>
      <c r="K293" s="11" t="s">
        <v>30</v>
      </c>
      <c r="L293" s="11" t="str">
        <f>VLOOKUP(A293, Map!A:G,2)</f>
        <v/>
      </c>
      <c r="M293" s="11" t="s">
        <v>1271</v>
      </c>
      <c r="N293" s="2" t="s">
        <v>39</v>
      </c>
      <c r="O293" s="25" t="s">
        <v>40</v>
      </c>
      <c r="P293" s="2">
        <v>1.0</v>
      </c>
      <c r="Q293" s="2">
        <v>1.0</v>
      </c>
      <c r="R293" s="15"/>
      <c r="S293" s="15"/>
      <c r="T293" s="2">
        <v>2.0</v>
      </c>
      <c r="U293" s="2" t="s">
        <v>1272</v>
      </c>
    </row>
    <row r="294">
      <c r="A294" s="16" t="s">
        <v>1273</v>
      </c>
      <c r="B294" s="22" t="s">
        <v>1275</v>
      </c>
      <c r="C294" s="2" t="s">
        <v>41</v>
      </c>
      <c r="D294" s="2">
        <v>10.0</v>
      </c>
      <c r="E294" s="22">
        <v>1.0</v>
      </c>
      <c r="F294" s="12">
        <v>6.25</v>
      </c>
      <c r="G294" s="2" t="s">
        <v>1479</v>
      </c>
      <c r="H294" s="39"/>
      <c r="I294" s="42">
        <v>44532.0</v>
      </c>
      <c r="J294" s="21" t="s">
        <v>1275</v>
      </c>
      <c r="K294" s="11" t="s">
        <v>30</v>
      </c>
      <c r="L294" s="11"/>
      <c r="M294" s="11"/>
      <c r="N294" s="2" t="s">
        <v>39</v>
      </c>
      <c r="O294" s="25" t="s">
        <v>40</v>
      </c>
      <c r="P294" s="2">
        <v>1.0</v>
      </c>
      <c r="Q294" s="2"/>
      <c r="R294" s="2">
        <v>1.0</v>
      </c>
      <c r="S294" s="15"/>
      <c r="T294" s="2">
        <v>2.0</v>
      </c>
      <c r="U294" s="2"/>
    </row>
    <row r="295">
      <c r="A295" s="16" t="s">
        <v>1273</v>
      </c>
      <c r="B295" s="22" t="s">
        <v>1275</v>
      </c>
      <c r="C295" s="2" t="s">
        <v>41</v>
      </c>
      <c r="D295" s="2">
        <v>10.0</v>
      </c>
      <c r="E295" s="22">
        <v>1.0</v>
      </c>
      <c r="F295" s="12" t="s">
        <v>992</v>
      </c>
      <c r="G295" s="2" t="s">
        <v>1480</v>
      </c>
      <c r="H295" s="39"/>
      <c r="I295" s="42">
        <v>44532.0</v>
      </c>
      <c r="J295" s="21" t="s">
        <v>1275</v>
      </c>
      <c r="K295" s="11" t="s">
        <v>30</v>
      </c>
      <c r="L295" s="11"/>
      <c r="M295" s="11"/>
      <c r="N295" s="2" t="s">
        <v>39</v>
      </c>
      <c r="O295" s="25" t="s">
        <v>40</v>
      </c>
      <c r="P295" s="2"/>
      <c r="Q295" s="2"/>
      <c r="R295" s="15"/>
      <c r="S295" s="15"/>
      <c r="T295" s="15"/>
      <c r="U295" s="2"/>
    </row>
    <row r="296">
      <c r="A296" s="16" t="s">
        <v>1273</v>
      </c>
      <c r="B296" s="22" t="s">
        <v>1275</v>
      </c>
      <c r="C296" s="2" t="s">
        <v>41</v>
      </c>
      <c r="D296" s="2">
        <v>10.0</v>
      </c>
      <c r="E296" s="22">
        <v>1.0</v>
      </c>
      <c r="F296" s="12" t="s">
        <v>992</v>
      </c>
      <c r="G296" s="2" t="s">
        <v>1481</v>
      </c>
      <c r="H296" s="39"/>
      <c r="I296" s="42">
        <v>44532.0</v>
      </c>
      <c r="J296" s="21" t="s">
        <v>1275</v>
      </c>
      <c r="K296" s="11" t="s">
        <v>30</v>
      </c>
      <c r="L296" s="11"/>
      <c r="M296" s="11"/>
      <c r="N296" s="2" t="s">
        <v>39</v>
      </c>
      <c r="O296" s="25" t="s">
        <v>40</v>
      </c>
      <c r="P296" s="2"/>
      <c r="Q296" s="2"/>
      <c r="R296" s="15"/>
      <c r="S296" s="15"/>
      <c r="T296" s="15"/>
      <c r="U296" s="2"/>
    </row>
    <row r="297">
      <c r="A297" s="16" t="s">
        <v>1273</v>
      </c>
      <c r="B297" s="22" t="s">
        <v>1275</v>
      </c>
      <c r="C297" s="2" t="s">
        <v>41</v>
      </c>
      <c r="D297" s="2">
        <v>10.0</v>
      </c>
      <c r="E297" s="22">
        <v>1.0</v>
      </c>
      <c r="F297" s="12" t="s">
        <v>992</v>
      </c>
      <c r="G297" s="2" t="s">
        <v>1482</v>
      </c>
      <c r="H297" s="39"/>
      <c r="I297" s="42">
        <v>44532.0</v>
      </c>
      <c r="J297" s="21" t="s">
        <v>1275</v>
      </c>
      <c r="K297" s="11" t="s">
        <v>30</v>
      </c>
      <c r="L297" s="11"/>
      <c r="M297" s="11"/>
      <c r="N297" s="2" t="s">
        <v>39</v>
      </c>
      <c r="O297" s="25" t="s">
        <v>40</v>
      </c>
      <c r="P297" s="2"/>
      <c r="Q297" s="2"/>
      <c r="R297" s="15"/>
      <c r="S297" s="15"/>
      <c r="T297" s="15"/>
      <c r="U297" s="2"/>
    </row>
    <row r="298">
      <c r="A298" s="16" t="s">
        <v>1282</v>
      </c>
      <c r="B298" s="22" t="s">
        <v>1275</v>
      </c>
      <c r="C298" s="2" t="s">
        <v>21</v>
      </c>
      <c r="D298" s="2">
        <v>10.0</v>
      </c>
      <c r="E298" s="22">
        <v>1.0</v>
      </c>
      <c r="F298" s="12">
        <v>15.0</v>
      </c>
      <c r="G298" s="2" t="s">
        <v>1483</v>
      </c>
      <c r="H298" s="39"/>
      <c r="I298" s="42">
        <v>44532.0</v>
      </c>
      <c r="J298" s="21" t="s">
        <v>1275</v>
      </c>
      <c r="K298" s="11" t="s">
        <v>30</v>
      </c>
      <c r="L298" s="11"/>
      <c r="M298" s="11"/>
      <c r="N298" s="2" t="s">
        <v>39</v>
      </c>
      <c r="O298" s="25" t="s">
        <v>40</v>
      </c>
      <c r="P298" s="2"/>
      <c r="Q298" s="2"/>
      <c r="R298" s="15"/>
      <c r="S298" s="15"/>
      <c r="T298" s="15"/>
      <c r="U298" s="6" t="s">
        <v>1484</v>
      </c>
    </row>
    <row r="299">
      <c r="A299" s="16" t="s">
        <v>1282</v>
      </c>
      <c r="B299" s="22" t="s">
        <v>1275</v>
      </c>
      <c r="C299" s="2" t="s">
        <v>21</v>
      </c>
      <c r="D299" s="2">
        <v>10.0</v>
      </c>
      <c r="E299" s="22">
        <v>1.0</v>
      </c>
      <c r="F299" s="12">
        <v>4.5</v>
      </c>
      <c r="G299" s="2" t="s">
        <v>1485</v>
      </c>
      <c r="H299" s="39"/>
      <c r="I299" s="42">
        <v>44532.0</v>
      </c>
      <c r="J299" s="21" t="s">
        <v>1275</v>
      </c>
      <c r="K299" s="11" t="s">
        <v>30</v>
      </c>
      <c r="L299" s="11"/>
      <c r="M299" s="11"/>
      <c r="N299" s="2" t="s">
        <v>39</v>
      </c>
      <c r="O299" s="25" t="s">
        <v>40</v>
      </c>
      <c r="P299" s="2"/>
      <c r="Q299" s="2"/>
      <c r="R299" s="15"/>
      <c r="S299" s="15"/>
      <c r="T299" s="15"/>
      <c r="U299" s="2"/>
    </row>
    <row r="300">
      <c r="A300" s="16" t="s">
        <v>1292</v>
      </c>
      <c r="B300" s="22" t="s">
        <v>1275</v>
      </c>
      <c r="C300" s="2" t="s">
        <v>645</v>
      </c>
      <c r="D300" s="2">
        <v>10.0</v>
      </c>
      <c r="E300" s="22">
        <v>1.0</v>
      </c>
      <c r="F300" s="12" t="s">
        <v>992</v>
      </c>
      <c r="G300" s="2" t="s">
        <v>1294</v>
      </c>
      <c r="H300" s="39"/>
      <c r="I300" s="42">
        <v>44532.0</v>
      </c>
      <c r="J300" s="21" t="s">
        <v>1275</v>
      </c>
      <c r="K300" s="11" t="s">
        <v>37</v>
      </c>
      <c r="L300" s="11"/>
      <c r="M300" s="11"/>
      <c r="N300" s="2" t="s">
        <v>39</v>
      </c>
      <c r="O300" s="25" t="s">
        <v>40</v>
      </c>
      <c r="P300" s="2"/>
      <c r="Q300" s="2"/>
      <c r="R300" s="15"/>
      <c r="S300" s="15"/>
      <c r="T300" s="15"/>
      <c r="U300" s="2"/>
    </row>
    <row r="301">
      <c r="A301" s="16" t="s">
        <v>1299</v>
      </c>
      <c r="B301" s="22" t="s">
        <v>1275</v>
      </c>
      <c r="C301" s="2" t="s">
        <v>33</v>
      </c>
      <c r="D301" s="2">
        <v>10.0</v>
      </c>
      <c r="E301" s="22">
        <v>1.0</v>
      </c>
      <c r="F301" s="12">
        <v>185.0</v>
      </c>
      <c r="G301" s="2" t="s">
        <v>1486</v>
      </c>
      <c r="H301" s="39"/>
      <c r="I301" s="42">
        <v>44532.0</v>
      </c>
      <c r="J301" s="21" t="s">
        <v>1275</v>
      </c>
      <c r="K301" s="11" t="s">
        <v>30</v>
      </c>
      <c r="L301" s="11"/>
      <c r="M301" s="11"/>
      <c r="N301" s="2" t="s">
        <v>39</v>
      </c>
      <c r="O301" s="25" t="s">
        <v>40</v>
      </c>
      <c r="P301" s="2"/>
      <c r="Q301" s="2">
        <v>1.0</v>
      </c>
      <c r="R301" s="15"/>
      <c r="S301" s="15"/>
      <c r="T301" s="2">
        <v>1.0</v>
      </c>
      <c r="U301" s="2"/>
    </row>
    <row r="302">
      <c r="A302" s="16" t="s">
        <v>1337</v>
      </c>
      <c r="B302" s="22" t="s">
        <v>1338</v>
      </c>
      <c r="C302" s="2" t="s">
        <v>41</v>
      </c>
      <c r="D302" s="2">
        <v>10.0</v>
      </c>
      <c r="E302" s="22">
        <v>2.0</v>
      </c>
      <c r="F302" s="12">
        <v>20.0</v>
      </c>
      <c r="G302" s="2" t="s">
        <v>1487</v>
      </c>
      <c r="H302" s="39" t="s">
        <v>1342</v>
      </c>
      <c r="I302" s="27">
        <v>44534.0</v>
      </c>
      <c r="J302" s="16" t="s">
        <v>1338</v>
      </c>
      <c r="K302" s="11" t="s">
        <v>30</v>
      </c>
      <c r="L302" s="11"/>
      <c r="M302" s="11"/>
      <c r="N302" s="2" t="s">
        <v>39</v>
      </c>
      <c r="O302" s="25" t="s">
        <v>40</v>
      </c>
      <c r="P302" s="2"/>
      <c r="Q302" s="2">
        <v>1.0</v>
      </c>
      <c r="R302" s="15"/>
      <c r="S302" s="15"/>
      <c r="T302" s="2">
        <v>1.0</v>
      </c>
      <c r="U302" s="2"/>
    </row>
    <row r="303">
      <c r="A303" s="16" t="s">
        <v>1337</v>
      </c>
      <c r="B303" s="22" t="s">
        <v>1338</v>
      </c>
      <c r="C303" s="2" t="s">
        <v>41</v>
      </c>
      <c r="D303" s="2">
        <v>10.0</v>
      </c>
      <c r="E303" s="22">
        <v>2.0</v>
      </c>
      <c r="F303" s="12"/>
      <c r="G303" s="2" t="s">
        <v>1488</v>
      </c>
      <c r="H303" s="39" t="s">
        <v>1342</v>
      </c>
      <c r="I303" s="27">
        <v>44534.0</v>
      </c>
      <c r="J303" s="16" t="s">
        <v>1338</v>
      </c>
      <c r="K303" s="11" t="s">
        <v>30</v>
      </c>
      <c r="L303" s="11"/>
      <c r="M303" s="11"/>
      <c r="N303" s="2" t="s">
        <v>39</v>
      </c>
      <c r="O303" s="25" t="s">
        <v>40</v>
      </c>
      <c r="P303" s="2"/>
      <c r="Q303" s="2"/>
      <c r="R303" s="15"/>
      <c r="S303" s="15"/>
      <c r="T303" s="15"/>
      <c r="U303" s="2"/>
    </row>
    <row r="304">
      <c r="A304" s="16" t="s">
        <v>1337</v>
      </c>
      <c r="B304" s="22" t="s">
        <v>1338</v>
      </c>
      <c r="C304" s="2" t="s">
        <v>41</v>
      </c>
      <c r="D304" s="2">
        <v>10.0</v>
      </c>
      <c r="E304" s="22">
        <v>2.0</v>
      </c>
      <c r="F304" s="12"/>
      <c r="G304" s="2" t="s">
        <v>1489</v>
      </c>
      <c r="H304" s="39" t="s">
        <v>1342</v>
      </c>
      <c r="I304" s="27">
        <v>44534.0</v>
      </c>
      <c r="J304" s="16" t="s">
        <v>1338</v>
      </c>
      <c r="K304" s="11" t="s">
        <v>30</v>
      </c>
      <c r="L304" s="11"/>
      <c r="M304" s="11"/>
      <c r="N304" s="2" t="s">
        <v>39</v>
      </c>
      <c r="O304" s="25" t="s">
        <v>40</v>
      </c>
      <c r="P304" s="2"/>
      <c r="Q304" s="2"/>
      <c r="R304" s="15"/>
      <c r="S304" s="15"/>
      <c r="T304" s="15"/>
      <c r="U304" s="2"/>
    </row>
    <row r="305">
      <c r="A305" s="16" t="s">
        <v>1344</v>
      </c>
      <c r="B305" s="22" t="s">
        <v>1338</v>
      </c>
      <c r="C305" s="2" t="s">
        <v>21</v>
      </c>
      <c r="D305" s="2">
        <v>10.0</v>
      </c>
      <c r="E305" s="22">
        <v>2.0</v>
      </c>
      <c r="F305" s="12">
        <v>45.0</v>
      </c>
      <c r="G305" s="2" t="s">
        <v>1490</v>
      </c>
      <c r="H305" s="39" t="s">
        <v>1348</v>
      </c>
      <c r="I305" s="27">
        <v>44534.0</v>
      </c>
      <c r="J305" s="16" t="s">
        <v>1338</v>
      </c>
      <c r="K305" s="11" t="s">
        <v>30</v>
      </c>
      <c r="L305" s="11"/>
      <c r="M305" s="11"/>
      <c r="N305" s="2" t="s">
        <v>39</v>
      </c>
      <c r="O305" s="25" t="s">
        <v>40</v>
      </c>
      <c r="P305" s="2"/>
      <c r="Q305" s="2"/>
      <c r="R305" s="2">
        <v>1.0</v>
      </c>
      <c r="S305" s="15"/>
      <c r="T305" s="2">
        <v>1.0</v>
      </c>
      <c r="U305" s="2" t="s">
        <v>1349</v>
      </c>
    </row>
    <row r="306">
      <c r="A306" s="44" t="s">
        <v>1350</v>
      </c>
      <c r="B306" s="22" t="s">
        <v>1338</v>
      </c>
      <c r="C306" s="2" t="s">
        <v>33</v>
      </c>
      <c r="D306" s="2">
        <v>10.0</v>
      </c>
      <c r="E306" s="22">
        <v>2.0</v>
      </c>
      <c r="F306" s="12">
        <v>78.0</v>
      </c>
      <c r="G306" s="2" t="s">
        <v>1491</v>
      </c>
      <c r="H306" s="39" t="s">
        <v>1355</v>
      </c>
      <c r="I306" s="27">
        <v>44534.0</v>
      </c>
      <c r="J306" s="16" t="s">
        <v>1338</v>
      </c>
      <c r="K306" s="11" t="s">
        <v>30</v>
      </c>
      <c r="L306" s="11"/>
      <c r="M306" s="11"/>
      <c r="N306" s="2" t="s">
        <v>39</v>
      </c>
      <c r="O306" s="25" t="s">
        <v>40</v>
      </c>
      <c r="P306" s="2">
        <v>1.0</v>
      </c>
      <c r="Q306" s="2"/>
      <c r="R306" s="15"/>
      <c r="S306" s="15"/>
      <c r="T306" s="2">
        <v>1.0</v>
      </c>
      <c r="U306" s="2"/>
    </row>
    <row r="307">
      <c r="A307" s="44" t="s">
        <v>1350</v>
      </c>
      <c r="B307" s="22" t="s">
        <v>1338</v>
      </c>
      <c r="C307" s="2" t="s">
        <v>33</v>
      </c>
      <c r="D307" s="2">
        <v>10.0</v>
      </c>
      <c r="E307" s="22">
        <v>2.0</v>
      </c>
      <c r="F307" s="12"/>
      <c r="G307" s="2" t="s">
        <v>1492</v>
      </c>
      <c r="H307" s="39" t="s">
        <v>1355</v>
      </c>
      <c r="I307" s="27">
        <v>44534.0</v>
      </c>
      <c r="J307" s="16" t="s">
        <v>1338</v>
      </c>
      <c r="K307" s="11" t="s">
        <v>30</v>
      </c>
      <c r="L307" s="11"/>
      <c r="M307" s="11"/>
      <c r="N307" s="2" t="s">
        <v>39</v>
      </c>
      <c r="O307" s="25" t="s">
        <v>40</v>
      </c>
      <c r="P307" s="2"/>
      <c r="Q307" s="2"/>
      <c r="R307" s="15"/>
      <c r="S307" s="15"/>
      <c r="T307" s="15"/>
      <c r="U307" s="2"/>
    </row>
    <row r="308">
      <c r="A308" s="44" t="s">
        <v>1350</v>
      </c>
      <c r="B308" s="22" t="s">
        <v>1338</v>
      </c>
      <c r="C308" s="2" t="s">
        <v>33</v>
      </c>
      <c r="D308" s="2">
        <v>10.0</v>
      </c>
      <c r="E308" s="22">
        <v>2.0</v>
      </c>
      <c r="F308" s="12"/>
      <c r="G308" s="43" t="s">
        <v>1493</v>
      </c>
      <c r="H308" s="39" t="s">
        <v>1355</v>
      </c>
      <c r="I308" s="27">
        <v>44534.0</v>
      </c>
      <c r="J308" s="16" t="s">
        <v>1338</v>
      </c>
      <c r="K308" s="11" t="s">
        <v>30</v>
      </c>
      <c r="L308" s="11"/>
      <c r="M308" s="11"/>
      <c r="N308" s="2" t="s">
        <v>39</v>
      </c>
      <c r="O308" s="25" t="s">
        <v>40</v>
      </c>
      <c r="P308" s="2"/>
      <c r="Q308" s="2"/>
      <c r="R308" s="15"/>
      <c r="S308" s="15"/>
      <c r="T308" s="15"/>
      <c r="U308" s="2"/>
    </row>
    <row r="309">
      <c r="A309" s="44" t="s">
        <v>1350</v>
      </c>
      <c r="B309" s="22" t="s">
        <v>1338</v>
      </c>
      <c r="C309" s="2" t="s">
        <v>33</v>
      </c>
      <c r="D309" s="2">
        <v>10.0</v>
      </c>
      <c r="E309" s="22">
        <v>2.0</v>
      </c>
      <c r="F309" s="12"/>
      <c r="G309" s="2" t="s">
        <v>1494</v>
      </c>
      <c r="H309" s="39" t="s">
        <v>1355</v>
      </c>
      <c r="I309" s="27">
        <v>44534.0</v>
      </c>
      <c r="J309" s="16" t="s">
        <v>1338</v>
      </c>
      <c r="K309" s="11" t="s">
        <v>30</v>
      </c>
      <c r="L309" s="11"/>
      <c r="M309" s="11"/>
      <c r="N309" s="2" t="s">
        <v>39</v>
      </c>
      <c r="O309" s="25" t="s">
        <v>40</v>
      </c>
      <c r="P309" s="2"/>
      <c r="Q309" s="2"/>
      <c r="R309" s="15"/>
      <c r="S309" s="15"/>
      <c r="T309" s="15"/>
      <c r="U309" s="2"/>
    </row>
    <row r="310">
      <c r="A310" s="44" t="s">
        <v>1356</v>
      </c>
      <c r="B310" s="43" t="s">
        <v>1357</v>
      </c>
      <c r="C310" s="43" t="s">
        <v>41</v>
      </c>
      <c r="D310" s="43">
        <v>10.0</v>
      </c>
      <c r="E310" s="43">
        <v>3.0</v>
      </c>
      <c r="G310" s="43" t="s">
        <v>1495</v>
      </c>
      <c r="H310" s="41" t="s">
        <v>1362</v>
      </c>
      <c r="I310" s="45">
        <v>44541.0</v>
      </c>
      <c r="J310" s="44" t="s">
        <v>1357</v>
      </c>
      <c r="K310" s="43" t="s">
        <v>30</v>
      </c>
      <c r="N310" s="2" t="s">
        <v>39</v>
      </c>
      <c r="O310" s="25" t="s">
        <v>40</v>
      </c>
    </row>
    <row r="311">
      <c r="A311" s="44" t="s">
        <v>1356</v>
      </c>
      <c r="B311" s="43" t="s">
        <v>1357</v>
      </c>
      <c r="C311" s="43" t="s">
        <v>41</v>
      </c>
      <c r="D311" s="43">
        <v>10.0</v>
      </c>
      <c r="E311" s="43">
        <v>3.0</v>
      </c>
      <c r="F311" s="12"/>
      <c r="G311" s="2" t="s">
        <v>1496</v>
      </c>
      <c r="H311" s="41" t="s">
        <v>1362</v>
      </c>
      <c r="I311" s="45">
        <v>44541.0</v>
      </c>
      <c r="J311" s="44" t="s">
        <v>1357</v>
      </c>
      <c r="K311" s="43" t="s">
        <v>30</v>
      </c>
      <c r="N311" s="2" t="s">
        <v>39</v>
      </c>
      <c r="O311" s="25" t="s">
        <v>40</v>
      </c>
      <c r="P311" s="2"/>
      <c r="Q311" s="2"/>
      <c r="R311" s="15"/>
      <c r="S311" s="15"/>
      <c r="T311" s="15"/>
      <c r="U311" s="2"/>
    </row>
    <row r="312">
      <c r="A312" s="44" t="s">
        <v>1356</v>
      </c>
      <c r="B312" s="43" t="s">
        <v>1357</v>
      </c>
      <c r="C312" s="43" t="s">
        <v>41</v>
      </c>
      <c r="D312" s="43">
        <v>10.0</v>
      </c>
      <c r="E312" s="43">
        <v>3.0</v>
      </c>
      <c r="F312" s="12">
        <v>4.0</v>
      </c>
      <c r="G312" s="2" t="s">
        <v>1497</v>
      </c>
      <c r="H312" s="41" t="s">
        <v>1362</v>
      </c>
      <c r="I312" s="45">
        <v>44541.0</v>
      </c>
      <c r="J312" s="44" t="s">
        <v>1357</v>
      </c>
      <c r="K312" s="43" t="s">
        <v>30</v>
      </c>
      <c r="N312" s="2" t="s">
        <v>39</v>
      </c>
      <c r="O312" s="25" t="s">
        <v>40</v>
      </c>
      <c r="P312" s="2">
        <v>1.0</v>
      </c>
      <c r="Q312" s="2"/>
      <c r="R312" s="15"/>
      <c r="S312" s="15"/>
      <c r="T312" s="2">
        <v>1.0</v>
      </c>
      <c r="U312" s="2"/>
    </row>
    <row r="313">
      <c r="A313" s="44" t="s">
        <v>1363</v>
      </c>
      <c r="B313" s="43" t="s">
        <v>1357</v>
      </c>
      <c r="C313" s="43" t="s">
        <v>21</v>
      </c>
      <c r="D313" s="43">
        <v>10.0</v>
      </c>
      <c r="E313" s="43">
        <v>3.0</v>
      </c>
      <c r="F313" s="12">
        <v>8.0</v>
      </c>
      <c r="G313" s="2" t="s">
        <v>1498</v>
      </c>
      <c r="H313" s="41" t="s">
        <v>1367</v>
      </c>
      <c r="I313" s="45">
        <v>44541.0</v>
      </c>
      <c r="J313" s="44" t="s">
        <v>1357</v>
      </c>
      <c r="K313" s="43" t="s">
        <v>30</v>
      </c>
      <c r="N313" s="2" t="s">
        <v>39</v>
      </c>
      <c r="O313" s="25" t="s">
        <v>40</v>
      </c>
      <c r="P313" s="2"/>
      <c r="Q313" s="2"/>
      <c r="R313" s="2">
        <v>1.0</v>
      </c>
      <c r="S313" s="15"/>
      <c r="T313" s="2">
        <v>1.0</v>
      </c>
      <c r="U313" s="2"/>
    </row>
    <row r="314">
      <c r="A314" s="44" t="s">
        <v>1363</v>
      </c>
      <c r="B314" s="43" t="s">
        <v>1357</v>
      </c>
      <c r="C314" s="43" t="s">
        <v>21</v>
      </c>
      <c r="D314" s="43">
        <v>10.0</v>
      </c>
      <c r="E314" s="43">
        <v>3.0</v>
      </c>
      <c r="F314" s="12"/>
      <c r="G314" s="2" t="s">
        <v>1499</v>
      </c>
      <c r="H314" s="41" t="s">
        <v>1367</v>
      </c>
      <c r="I314" s="45">
        <v>44541.0</v>
      </c>
      <c r="J314" s="44" t="s">
        <v>1357</v>
      </c>
      <c r="K314" s="43" t="s">
        <v>30</v>
      </c>
      <c r="N314" s="2" t="s">
        <v>39</v>
      </c>
      <c r="O314" s="25" t="s">
        <v>40</v>
      </c>
      <c r="P314" s="2"/>
      <c r="Q314" s="2"/>
      <c r="R314" s="15"/>
      <c r="S314" s="15"/>
      <c r="T314" s="15"/>
      <c r="U314" s="2"/>
    </row>
    <row r="315">
      <c r="A315" s="44" t="s">
        <v>1363</v>
      </c>
      <c r="B315" s="43" t="s">
        <v>1357</v>
      </c>
      <c r="C315" s="43" t="s">
        <v>21</v>
      </c>
      <c r="D315" s="43">
        <v>10.0</v>
      </c>
      <c r="E315" s="43">
        <v>3.0</v>
      </c>
      <c r="F315" s="12"/>
      <c r="G315" s="2" t="s">
        <v>1500</v>
      </c>
      <c r="H315" s="41" t="s">
        <v>1367</v>
      </c>
      <c r="I315" s="45">
        <v>44541.0</v>
      </c>
      <c r="J315" s="44" t="s">
        <v>1357</v>
      </c>
      <c r="K315" s="43" t="s">
        <v>30</v>
      </c>
      <c r="N315" s="2" t="s">
        <v>39</v>
      </c>
      <c r="O315" s="25" t="s">
        <v>40</v>
      </c>
      <c r="P315" s="2"/>
      <c r="Q315" s="2"/>
      <c r="R315" s="15"/>
      <c r="S315" s="15"/>
      <c r="T315" s="15"/>
      <c r="U315" s="2"/>
    </row>
    <row r="316">
      <c r="A316" s="44" t="s">
        <v>1363</v>
      </c>
      <c r="B316" s="43" t="s">
        <v>1357</v>
      </c>
      <c r="C316" s="43" t="s">
        <v>21</v>
      </c>
      <c r="D316" s="43">
        <v>10.0</v>
      </c>
      <c r="E316" s="43">
        <v>3.0</v>
      </c>
      <c r="F316" s="12"/>
      <c r="G316" s="2" t="s">
        <v>1501</v>
      </c>
      <c r="H316" s="41" t="s">
        <v>1367</v>
      </c>
      <c r="I316" s="45">
        <v>44541.0</v>
      </c>
      <c r="J316" s="44" t="s">
        <v>1357</v>
      </c>
      <c r="K316" s="43" t="s">
        <v>30</v>
      </c>
      <c r="N316" s="2" t="s">
        <v>39</v>
      </c>
      <c r="O316" s="25" t="s">
        <v>40</v>
      </c>
      <c r="P316" s="2"/>
      <c r="Q316" s="2"/>
      <c r="R316" s="15"/>
      <c r="S316" s="15"/>
      <c r="T316" s="15"/>
      <c r="U316" s="2"/>
    </row>
    <row r="317">
      <c r="A317" s="44" t="s">
        <v>1363</v>
      </c>
      <c r="B317" s="43" t="s">
        <v>1357</v>
      </c>
      <c r="C317" s="43" t="s">
        <v>21</v>
      </c>
      <c r="D317" s="43">
        <v>10.0</v>
      </c>
      <c r="E317" s="43">
        <v>3.0</v>
      </c>
      <c r="F317" s="12"/>
      <c r="G317" s="2" t="s">
        <v>1502</v>
      </c>
      <c r="H317" s="41" t="s">
        <v>1367</v>
      </c>
      <c r="I317" s="45">
        <v>44541.0</v>
      </c>
      <c r="J317" s="44" t="s">
        <v>1357</v>
      </c>
      <c r="K317" s="43" t="s">
        <v>30</v>
      </c>
      <c r="N317" s="2" t="s">
        <v>39</v>
      </c>
      <c r="O317" s="25" t="s">
        <v>40</v>
      </c>
      <c r="P317" s="2"/>
      <c r="Q317" s="2"/>
      <c r="R317" s="15"/>
      <c r="S317" s="15"/>
      <c r="T317" s="15"/>
      <c r="U317" s="2"/>
    </row>
    <row r="318">
      <c r="A318" s="46" t="s">
        <v>1368</v>
      </c>
      <c r="B318" s="43" t="s">
        <v>1357</v>
      </c>
      <c r="C318" s="2" t="s">
        <v>645</v>
      </c>
      <c r="D318" s="2">
        <v>10.0</v>
      </c>
      <c r="E318" s="2">
        <v>3.0</v>
      </c>
      <c r="F318" s="9"/>
      <c r="G318" s="2" t="s">
        <v>1369</v>
      </c>
      <c r="H318" s="39" t="s">
        <v>1372</v>
      </c>
      <c r="I318" s="45">
        <v>44541.0</v>
      </c>
      <c r="J318" s="44" t="s">
        <v>1357</v>
      </c>
      <c r="K318" s="43" t="s">
        <v>30</v>
      </c>
      <c r="L318" s="9"/>
      <c r="M318" s="2"/>
      <c r="N318" s="2" t="s">
        <v>39</v>
      </c>
      <c r="O318" s="25" t="s">
        <v>40</v>
      </c>
      <c r="P318" s="2"/>
      <c r="Q318" s="2"/>
      <c r="R318" s="2"/>
      <c r="S318" s="2"/>
      <c r="T318" s="2"/>
      <c r="U318" s="2"/>
    </row>
    <row r="319">
      <c r="A319" s="44" t="s">
        <v>1503</v>
      </c>
      <c r="B319" s="43" t="s">
        <v>1357</v>
      </c>
      <c r="C319" s="43" t="s">
        <v>33</v>
      </c>
      <c r="D319" s="43">
        <v>10.0</v>
      </c>
      <c r="E319" s="43">
        <v>3.0</v>
      </c>
      <c r="F319" s="12"/>
      <c r="G319" s="2" t="s">
        <v>1504</v>
      </c>
      <c r="H319" s="41" t="s">
        <v>1505</v>
      </c>
      <c r="I319" s="45">
        <v>44541.0</v>
      </c>
      <c r="J319" s="44" t="s">
        <v>1357</v>
      </c>
      <c r="K319" s="43" t="s">
        <v>30</v>
      </c>
      <c r="N319" s="2" t="s">
        <v>39</v>
      </c>
      <c r="O319" s="25" t="s">
        <v>40</v>
      </c>
      <c r="P319" s="2"/>
      <c r="Q319" s="2"/>
      <c r="R319" s="15"/>
      <c r="S319" s="15"/>
      <c r="T319" s="15"/>
      <c r="U319" s="2"/>
    </row>
    <row r="320">
      <c r="A320" s="44" t="s">
        <v>1503</v>
      </c>
      <c r="B320" s="43" t="s">
        <v>1357</v>
      </c>
      <c r="C320" s="43" t="s">
        <v>33</v>
      </c>
      <c r="D320" s="43">
        <v>10.0</v>
      </c>
      <c r="E320" s="43">
        <v>3.0</v>
      </c>
      <c r="F320" s="12">
        <v>69.0</v>
      </c>
      <c r="G320" s="2" t="s">
        <v>1506</v>
      </c>
      <c r="H320" s="41" t="s">
        <v>1505</v>
      </c>
      <c r="I320" s="45">
        <v>44541.0</v>
      </c>
      <c r="J320" s="44" t="s">
        <v>1357</v>
      </c>
      <c r="K320" s="43" t="s">
        <v>30</v>
      </c>
      <c r="N320" s="2" t="s">
        <v>39</v>
      </c>
      <c r="O320" s="25" t="s">
        <v>40</v>
      </c>
      <c r="P320" s="2"/>
      <c r="Q320" s="2"/>
      <c r="R320" s="15"/>
      <c r="S320" s="15"/>
      <c r="T320" s="15"/>
      <c r="U320" s="2"/>
    </row>
    <row r="321">
      <c r="A321" s="44" t="s">
        <v>1503</v>
      </c>
      <c r="B321" s="43" t="s">
        <v>1357</v>
      </c>
      <c r="C321" s="43" t="s">
        <v>33</v>
      </c>
      <c r="D321" s="43">
        <v>10.0</v>
      </c>
      <c r="E321" s="43">
        <v>3.0</v>
      </c>
      <c r="F321" s="12"/>
      <c r="G321" s="2" t="s">
        <v>1507</v>
      </c>
      <c r="H321" s="41" t="s">
        <v>1505</v>
      </c>
      <c r="I321" s="45">
        <v>44541.0</v>
      </c>
      <c r="J321" s="44" t="s">
        <v>1357</v>
      </c>
      <c r="K321" s="43" t="s">
        <v>30</v>
      </c>
      <c r="N321" s="2" t="s">
        <v>39</v>
      </c>
      <c r="O321" s="25" t="s">
        <v>40</v>
      </c>
      <c r="P321" s="2"/>
      <c r="Q321" s="2"/>
      <c r="R321" s="15"/>
      <c r="S321" s="15"/>
      <c r="T321" s="15"/>
      <c r="U321" s="2"/>
    </row>
    <row r="322">
      <c r="A322" s="44" t="s">
        <v>1503</v>
      </c>
      <c r="B322" s="43" t="s">
        <v>1357</v>
      </c>
      <c r="C322" s="43" t="s">
        <v>33</v>
      </c>
      <c r="D322" s="43">
        <v>10.0</v>
      </c>
      <c r="E322" s="43">
        <v>3.0</v>
      </c>
      <c r="F322" s="12"/>
      <c r="G322" s="2" t="s">
        <v>1508</v>
      </c>
      <c r="H322" s="41" t="s">
        <v>1505</v>
      </c>
      <c r="I322" s="45">
        <v>44541.0</v>
      </c>
      <c r="J322" s="44" t="s">
        <v>1357</v>
      </c>
      <c r="K322" s="43" t="s">
        <v>30</v>
      </c>
      <c r="N322" s="2" t="s">
        <v>39</v>
      </c>
      <c r="O322" s="25" t="s">
        <v>40</v>
      </c>
      <c r="P322" s="2"/>
      <c r="Q322" s="2"/>
      <c r="R322" s="15"/>
      <c r="S322" s="15"/>
      <c r="T322" s="15"/>
      <c r="U322" s="2"/>
    </row>
    <row r="323">
      <c r="A323" s="44" t="s">
        <v>1503</v>
      </c>
      <c r="B323" s="43" t="s">
        <v>1357</v>
      </c>
      <c r="C323" s="43" t="s">
        <v>33</v>
      </c>
      <c r="D323" s="43">
        <v>10.0</v>
      </c>
      <c r="E323" s="43">
        <v>3.0</v>
      </c>
      <c r="F323" s="12">
        <v>39.0</v>
      </c>
      <c r="G323" s="2" t="s">
        <v>1509</v>
      </c>
      <c r="H323" s="41" t="s">
        <v>1505</v>
      </c>
      <c r="I323" s="45">
        <v>44541.0</v>
      </c>
      <c r="J323" s="44" t="s">
        <v>1357</v>
      </c>
      <c r="K323" s="43" t="s">
        <v>30</v>
      </c>
      <c r="N323" s="2" t="s">
        <v>39</v>
      </c>
      <c r="O323" s="25" t="s">
        <v>40</v>
      </c>
      <c r="P323" s="2"/>
      <c r="Q323" s="2"/>
      <c r="R323" s="15"/>
      <c r="S323" s="15"/>
      <c r="T323" s="15"/>
      <c r="U323" s="2"/>
    </row>
    <row r="324">
      <c r="A324" s="44" t="s">
        <v>1503</v>
      </c>
      <c r="B324" s="43" t="s">
        <v>1357</v>
      </c>
      <c r="C324" s="43" t="s">
        <v>33</v>
      </c>
      <c r="D324" s="43">
        <v>10.0</v>
      </c>
      <c r="E324" s="43">
        <v>3.0</v>
      </c>
      <c r="F324" s="12">
        <v>52.0</v>
      </c>
      <c r="G324" s="2" t="s">
        <v>1510</v>
      </c>
      <c r="H324" s="41" t="s">
        <v>1505</v>
      </c>
      <c r="I324" s="45">
        <v>44541.0</v>
      </c>
      <c r="J324" s="44" t="s">
        <v>1357</v>
      </c>
      <c r="K324" s="43" t="s">
        <v>30</v>
      </c>
      <c r="N324" s="2" t="s">
        <v>39</v>
      </c>
      <c r="O324" s="25" t="s">
        <v>40</v>
      </c>
      <c r="P324" s="2"/>
      <c r="Q324" s="2"/>
      <c r="R324" s="15"/>
      <c r="S324" s="15"/>
      <c r="T324" s="15"/>
      <c r="U324" s="2"/>
    </row>
    <row r="325">
      <c r="A325" s="44" t="s">
        <v>1503</v>
      </c>
      <c r="B325" s="43" t="s">
        <v>1357</v>
      </c>
      <c r="C325" s="43" t="s">
        <v>33</v>
      </c>
      <c r="D325" s="43">
        <v>10.0</v>
      </c>
      <c r="E325" s="43">
        <v>3.0</v>
      </c>
      <c r="F325" s="12">
        <v>235.0</v>
      </c>
      <c r="G325" s="2" t="s">
        <v>1511</v>
      </c>
      <c r="H325" s="41" t="s">
        <v>1505</v>
      </c>
      <c r="I325" s="45">
        <v>44541.0</v>
      </c>
      <c r="J325" s="44" t="s">
        <v>1357</v>
      </c>
      <c r="K325" s="43" t="s">
        <v>30</v>
      </c>
      <c r="N325" s="2" t="s">
        <v>39</v>
      </c>
      <c r="O325" s="25" t="s">
        <v>40</v>
      </c>
      <c r="P325" s="2"/>
      <c r="Q325" s="2">
        <v>1.0</v>
      </c>
      <c r="R325" s="15"/>
      <c r="S325" s="15"/>
      <c r="T325" s="2">
        <v>1.0</v>
      </c>
      <c r="U325" s="2" t="s">
        <v>80</v>
      </c>
    </row>
    <row r="326">
      <c r="A326" s="44"/>
      <c r="B326" s="43"/>
      <c r="C326" s="43"/>
      <c r="D326" s="43"/>
      <c r="E326" s="43"/>
      <c r="F326" s="12"/>
      <c r="G326" s="2"/>
      <c r="H326" s="43"/>
      <c r="I326" s="45"/>
      <c r="J326" s="44"/>
      <c r="K326" s="43"/>
      <c r="N326" s="2"/>
      <c r="O326" s="25"/>
      <c r="P326" s="2"/>
      <c r="Q326" s="2"/>
      <c r="R326" s="15"/>
      <c r="S326" s="15"/>
      <c r="T326" s="15"/>
      <c r="U326" s="2"/>
    </row>
    <row r="327">
      <c r="A327" s="44"/>
      <c r="B327" s="43"/>
      <c r="C327" s="43"/>
      <c r="D327" s="43"/>
      <c r="E327" s="43"/>
      <c r="F327" s="12"/>
      <c r="G327" s="2"/>
      <c r="H327" s="43"/>
      <c r="I327" s="45"/>
      <c r="J327" s="44"/>
      <c r="K327" s="43"/>
      <c r="N327" s="2"/>
      <c r="O327" s="25"/>
      <c r="P327" s="2"/>
      <c r="Q327" s="2"/>
      <c r="R327" s="15"/>
      <c r="S327" s="15"/>
      <c r="T327" s="15"/>
      <c r="U327" s="2"/>
    </row>
    <row r="328">
      <c r="A328" s="44"/>
      <c r="B328" s="43"/>
      <c r="C328" s="43"/>
      <c r="D328" s="43"/>
      <c r="E328" s="43"/>
      <c r="F328" s="12"/>
      <c r="H328" s="43"/>
      <c r="I328" s="45"/>
      <c r="J328" s="44"/>
      <c r="K328" s="43"/>
      <c r="N328" s="2"/>
      <c r="O328" s="25"/>
      <c r="P328" s="2"/>
      <c r="Q328" s="2"/>
      <c r="R328" s="15"/>
      <c r="S328" s="15"/>
      <c r="T328" s="15"/>
      <c r="U328" s="2"/>
    </row>
    <row r="329">
      <c r="A329" s="44"/>
      <c r="B329" s="43"/>
      <c r="C329" s="43"/>
      <c r="D329" s="43"/>
      <c r="E329" s="43"/>
      <c r="F329" s="12"/>
      <c r="G329" s="2"/>
      <c r="H329" s="43"/>
      <c r="I329" s="45"/>
      <c r="J329" s="44"/>
      <c r="K329" s="43"/>
      <c r="N329" s="2"/>
      <c r="O329" s="25"/>
      <c r="P329" s="2"/>
      <c r="Q329" s="2"/>
      <c r="R329" s="15"/>
      <c r="S329" s="15"/>
      <c r="T329" s="15"/>
      <c r="U329" s="2"/>
    </row>
    <row r="330">
      <c r="A330" s="44"/>
      <c r="B330" s="43"/>
      <c r="C330" s="43"/>
      <c r="D330" s="43"/>
      <c r="E330" s="43"/>
      <c r="F330" s="12"/>
      <c r="G330" s="2"/>
      <c r="H330" s="43"/>
      <c r="I330" s="45"/>
      <c r="J330" s="44"/>
      <c r="K330" s="43"/>
      <c r="N330" s="2"/>
      <c r="O330" s="25"/>
      <c r="P330" s="2"/>
      <c r="Q330" s="2"/>
      <c r="R330" s="15"/>
      <c r="S330" s="15"/>
      <c r="T330" s="15"/>
      <c r="U330" s="2"/>
    </row>
    <row r="331">
      <c r="A331" s="44"/>
      <c r="B331" s="43"/>
      <c r="C331" s="43"/>
      <c r="D331" s="43"/>
      <c r="E331" s="43"/>
      <c r="F331" s="12"/>
      <c r="G331" s="2"/>
      <c r="H331" s="43"/>
      <c r="I331" s="45"/>
      <c r="J331" s="44"/>
      <c r="K331" s="43"/>
      <c r="N331" s="2"/>
      <c r="O331" s="25"/>
      <c r="P331" s="2"/>
      <c r="Q331" s="2"/>
      <c r="R331" s="15"/>
      <c r="S331" s="15"/>
      <c r="T331" s="15"/>
      <c r="U331" s="2"/>
    </row>
    <row r="332">
      <c r="A332" s="44"/>
      <c r="B332" s="43"/>
      <c r="C332" s="43"/>
      <c r="D332" s="43"/>
      <c r="E332" s="43"/>
      <c r="F332" s="12"/>
      <c r="G332" s="2"/>
      <c r="H332" s="43"/>
      <c r="I332" s="45"/>
      <c r="J332" s="44"/>
      <c r="K332" s="43"/>
      <c r="N332" s="2"/>
      <c r="O332" s="25"/>
      <c r="P332" s="2"/>
      <c r="Q332" s="2"/>
      <c r="R332" s="15"/>
      <c r="S332" s="15"/>
      <c r="T332" s="15"/>
      <c r="U332" s="2"/>
    </row>
  </sheetData>
  <autoFilter ref="$A$1:$U$332"/>
  <conditionalFormatting sqref="F318">
    <cfRule type="expression" dxfId="0" priority="1">
      <formula>countif(A:A,A318)&gt;1</formula>
    </cfRule>
  </conditionalFormatting>
  <conditionalFormatting sqref="A6 A318">
    <cfRule type="expression" dxfId="0" priority="2">
      <formula>countif(A:A,A6)&gt;1</formula>
    </cfRule>
  </conditionalFormatting>
  <hyperlinks>
    <hyperlink r:id="rId1" ref="H2"/>
    <hyperlink r:id="rId2" ref="A3"/>
    <hyperlink r:id="rId3" ref="H3"/>
    <hyperlink r:id="rId4" ref="H4"/>
    <hyperlink r:id="rId5" ref="H5"/>
    <hyperlink r:id="rId6" ref="H6"/>
    <hyperlink r:id="rId7" ref="H7"/>
    <hyperlink r:id="rId8" ref="H8"/>
    <hyperlink r:id="rId9" ref="H9"/>
    <hyperlink r:id="rId10" ref="H10"/>
    <hyperlink r:id="rId11" ref="H11"/>
    <hyperlink r:id="rId12" ref="H12"/>
    <hyperlink r:id="rId13" ref="H13"/>
    <hyperlink r:id="rId14" ref="H14"/>
    <hyperlink r:id="rId15" ref="H15"/>
    <hyperlink r:id="rId16" ref="H16"/>
    <hyperlink r:id="rId17" ref="H17"/>
    <hyperlink r:id="rId18" ref="H18"/>
    <hyperlink r:id="rId19" ref="H19"/>
    <hyperlink r:id="rId20" ref="H20"/>
    <hyperlink r:id="rId21" ref="H21"/>
    <hyperlink r:id="rId22" ref="H22"/>
    <hyperlink r:id="rId23" ref="H23"/>
    <hyperlink r:id="rId24" ref="H24"/>
    <hyperlink r:id="rId25" ref="H25"/>
    <hyperlink r:id="rId26" ref="H26"/>
    <hyperlink r:id="rId27" ref="H27"/>
    <hyperlink r:id="rId28" ref="H28"/>
    <hyperlink r:id="rId29" ref="H29"/>
    <hyperlink r:id="rId30" ref="H30"/>
    <hyperlink r:id="rId31" ref="H31"/>
    <hyperlink r:id="rId32" ref="H32"/>
    <hyperlink r:id="rId33" ref="A33"/>
    <hyperlink r:id="rId34" ref="H33"/>
    <hyperlink r:id="rId35" ref="H34"/>
    <hyperlink r:id="rId36" ref="H35"/>
    <hyperlink r:id="rId37" ref="H36"/>
    <hyperlink r:id="rId38" ref="H37"/>
    <hyperlink r:id="rId39" ref="H38"/>
    <hyperlink r:id="rId40" ref="H39"/>
    <hyperlink r:id="rId41" ref="H40"/>
    <hyperlink r:id="rId42" ref="H41"/>
    <hyperlink r:id="rId43" ref="H42"/>
    <hyperlink r:id="rId44" ref="H43"/>
    <hyperlink r:id="rId45" ref="H44"/>
    <hyperlink r:id="rId46" ref="H45"/>
    <hyperlink r:id="rId47" ref="H46"/>
    <hyperlink r:id="rId48" ref="H47"/>
    <hyperlink r:id="rId49" ref="H48"/>
    <hyperlink r:id="rId50" ref="H49"/>
    <hyperlink r:id="rId51" ref="H50"/>
    <hyperlink r:id="rId52" ref="H51"/>
    <hyperlink r:id="rId53" ref="H52"/>
    <hyperlink r:id="rId54" ref="H53"/>
    <hyperlink r:id="rId55" ref="H54"/>
    <hyperlink r:id="rId56" ref="H55"/>
    <hyperlink r:id="rId57" ref="H56"/>
    <hyperlink r:id="rId58" ref="H57"/>
    <hyperlink r:id="rId59" ref="H58"/>
    <hyperlink r:id="rId60" ref="H59"/>
    <hyperlink r:id="rId61" ref="H60"/>
    <hyperlink r:id="rId62" ref="H61"/>
    <hyperlink r:id="rId63" ref="H62"/>
    <hyperlink r:id="rId64" ref="H63"/>
    <hyperlink r:id="rId65" ref="H64"/>
    <hyperlink r:id="rId66" ref="H65"/>
    <hyperlink r:id="rId67" ref="H66"/>
    <hyperlink r:id="rId68" ref="A67"/>
    <hyperlink r:id="rId69" ref="H67"/>
    <hyperlink r:id="rId70" ref="H68"/>
    <hyperlink r:id="rId71" ref="H69"/>
    <hyperlink r:id="rId72" ref="H70"/>
    <hyperlink r:id="rId73" ref="H71"/>
    <hyperlink r:id="rId74" ref="H72"/>
    <hyperlink r:id="rId75" ref="H73"/>
    <hyperlink r:id="rId76" ref="H74"/>
    <hyperlink r:id="rId77" ref="H75"/>
    <hyperlink r:id="rId78" ref="H76"/>
    <hyperlink r:id="rId79" ref="H77"/>
    <hyperlink r:id="rId80" ref="H78"/>
    <hyperlink r:id="rId81" ref="H79"/>
    <hyperlink r:id="rId82" ref="H80"/>
    <hyperlink r:id="rId83" ref="H81"/>
    <hyperlink r:id="rId84" ref="H82"/>
    <hyperlink r:id="rId85" ref="H83"/>
    <hyperlink r:id="rId86" ref="H84"/>
    <hyperlink r:id="rId87" ref="H85"/>
    <hyperlink r:id="rId88" ref="H86"/>
    <hyperlink r:id="rId89" ref="H87"/>
    <hyperlink r:id="rId90" ref="H88"/>
    <hyperlink r:id="rId91" ref="H89"/>
    <hyperlink r:id="rId92" ref="H90"/>
    <hyperlink r:id="rId93" ref="H91"/>
    <hyperlink r:id="rId94" ref="H92"/>
    <hyperlink r:id="rId95" ref="H93"/>
    <hyperlink r:id="rId96" ref="H94"/>
    <hyperlink r:id="rId97" ref="H95"/>
    <hyperlink r:id="rId98" ref="H96"/>
    <hyperlink r:id="rId99" ref="H97"/>
    <hyperlink r:id="rId100" ref="H98"/>
    <hyperlink r:id="rId101" ref="H99"/>
    <hyperlink r:id="rId102" ref="H100"/>
    <hyperlink r:id="rId103" ref="H101"/>
    <hyperlink r:id="rId104" ref="H102"/>
    <hyperlink r:id="rId105" ref="A103"/>
    <hyperlink r:id="rId106" ref="H103"/>
    <hyperlink r:id="rId107" ref="H104"/>
    <hyperlink r:id="rId108" ref="H105"/>
    <hyperlink r:id="rId109" ref="H106"/>
    <hyperlink r:id="rId110" ref="H107"/>
    <hyperlink r:id="rId111" ref="H108"/>
    <hyperlink r:id="rId112" ref="H109"/>
    <hyperlink r:id="rId113" ref="H110"/>
    <hyperlink r:id="rId114" ref="H111"/>
    <hyperlink r:id="rId115" ref="H112"/>
    <hyperlink r:id="rId116" ref="H113"/>
    <hyperlink r:id="rId117" ref="H114"/>
    <hyperlink r:id="rId118" ref="H115"/>
    <hyperlink r:id="rId119" ref="H116"/>
    <hyperlink r:id="rId120" ref="H117"/>
    <hyperlink r:id="rId121" ref="H118"/>
    <hyperlink r:id="rId122" ref="H119"/>
    <hyperlink r:id="rId123" ref="H120"/>
    <hyperlink r:id="rId124" ref="H121"/>
    <hyperlink r:id="rId125" ref="H122"/>
    <hyperlink r:id="rId126" ref="H123"/>
    <hyperlink r:id="rId127" ref="H124"/>
    <hyperlink r:id="rId128" ref="H125"/>
    <hyperlink r:id="rId129" ref="H126"/>
    <hyperlink r:id="rId130" ref="H127"/>
    <hyperlink r:id="rId131" ref="H128"/>
    <hyperlink r:id="rId132" ref="H129"/>
    <hyperlink r:id="rId133" ref="H130"/>
    <hyperlink r:id="rId134" ref="H131"/>
    <hyperlink r:id="rId135" ref="H132"/>
    <hyperlink r:id="rId136" ref="H133"/>
    <hyperlink r:id="rId137" ref="H134"/>
    <hyperlink r:id="rId138" ref="H135"/>
    <hyperlink r:id="rId139" ref="H136"/>
    <hyperlink r:id="rId140" ref="H137"/>
    <hyperlink r:id="rId141" ref="H138"/>
    <hyperlink r:id="rId142" ref="H139"/>
    <hyperlink r:id="rId143" ref="H140"/>
    <hyperlink r:id="rId144" ref="H141"/>
    <hyperlink r:id="rId145" ref="H142"/>
    <hyperlink r:id="rId146" ref="H143"/>
    <hyperlink r:id="rId147" ref="H144"/>
    <hyperlink r:id="rId148" ref="H145"/>
    <hyperlink r:id="rId149" ref="H146"/>
    <hyperlink r:id="rId150" ref="H147"/>
    <hyperlink r:id="rId151" ref="H148"/>
    <hyperlink r:id="rId152" ref="H149"/>
    <hyperlink r:id="rId153" ref="H150"/>
    <hyperlink r:id="rId154" ref="H151"/>
    <hyperlink r:id="rId155" ref="H152"/>
    <hyperlink r:id="rId156" ref="H153"/>
    <hyperlink r:id="rId157" ref="H154"/>
    <hyperlink r:id="rId158" ref="H155"/>
    <hyperlink r:id="rId159" ref="H156"/>
    <hyperlink r:id="rId160" ref="H157"/>
    <hyperlink r:id="rId161" ref="H158"/>
    <hyperlink r:id="rId162" ref="H159"/>
    <hyperlink r:id="rId163" ref="H160"/>
    <hyperlink r:id="rId164" ref="H161"/>
    <hyperlink r:id="rId165" ref="H162"/>
    <hyperlink r:id="rId166" ref="H163"/>
    <hyperlink r:id="rId167" ref="H164"/>
    <hyperlink r:id="rId168" ref="H165"/>
    <hyperlink r:id="rId169" ref="H166"/>
    <hyperlink r:id="rId170" ref="A167"/>
    <hyperlink r:id="rId171" ref="H167"/>
    <hyperlink r:id="rId172" ref="A168"/>
    <hyperlink r:id="rId173" ref="H168"/>
    <hyperlink r:id="rId174" ref="A169"/>
    <hyperlink r:id="rId175" ref="H169"/>
    <hyperlink r:id="rId176" ref="A170"/>
    <hyperlink r:id="rId177" ref="H170"/>
    <hyperlink r:id="rId178" ref="A171"/>
    <hyperlink r:id="rId179" ref="H171"/>
    <hyperlink r:id="rId180" ref="A172"/>
    <hyperlink r:id="rId181" ref="H172"/>
    <hyperlink r:id="rId182" ref="A173"/>
    <hyperlink r:id="rId183" ref="H173"/>
    <hyperlink r:id="rId184" ref="A174"/>
    <hyperlink r:id="rId185" ref="H174"/>
    <hyperlink r:id="rId186" ref="A175"/>
    <hyperlink r:id="rId187" ref="H175"/>
    <hyperlink r:id="rId188" ref="A176"/>
    <hyperlink r:id="rId189" ref="H176"/>
    <hyperlink r:id="rId190" ref="A177"/>
    <hyperlink r:id="rId191" ref="H177"/>
    <hyperlink r:id="rId192" ref="A178"/>
    <hyperlink r:id="rId193" ref="H178"/>
    <hyperlink r:id="rId194" ref="A179"/>
    <hyperlink r:id="rId195" ref="H179"/>
    <hyperlink r:id="rId196" ref="A180"/>
    <hyperlink r:id="rId197" ref="H180"/>
    <hyperlink r:id="rId198" ref="A181"/>
    <hyperlink r:id="rId199" ref="H181"/>
    <hyperlink r:id="rId200" ref="A182"/>
    <hyperlink r:id="rId201" ref="H182"/>
    <hyperlink r:id="rId202" ref="A183"/>
    <hyperlink r:id="rId203" ref="H183"/>
    <hyperlink r:id="rId204" ref="A184"/>
    <hyperlink r:id="rId205" ref="H184"/>
    <hyperlink r:id="rId206" ref="A185"/>
    <hyperlink r:id="rId207" ref="H185"/>
    <hyperlink r:id="rId208" ref="A186"/>
    <hyperlink r:id="rId209" ref="H186"/>
    <hyperlink r:id="rId210" ref="A187"/>
    <hyperlink r:id="rId211" ref="H187"/>
    <hyperlink r:id="rId212" ref="A188"/>
    <hyperlink r:id="rId213" ref="H188"/>
    <hyperlink r:id="rId214" ref="A189"/>
    <hyperlink r:id="rId215" ref="H189"/>
    <hyperlink r:id="rId216" ref="H190"/>
    <hyperlink r:id="rId217" ref="A191"/>
    <hyperlink r:id="rId218" ref="H191"/>
    <hyperlink r:id="rId219" ref="A192"/>
    <hyperlink r:id="rId220" ref="H192"/>
    <hyperlink r:id="rId221" ref="A193"/>
    <hyperlink r:id="rId222" ref="H193"/>
    <hyperlink r:id="rId223" ref="A194"/>
    <hyperlink r:id="rId224" ref="H194"/>
    <hyperlink r:id="rId225" ref="A195"/>
    <hyperlink r:id="rId226" ref="H195"/>
    <hyperlink r:id="rId227" ref="H196"/>
    <hyperlink r:id="rId228" ref="H197"/>
    <hyperlink r:id="rId229" ref="H198"/>
    <hyperlink r:id="rId230" ref="H199"/>
    <hyperlink r:id="rId231" ref="H200"/>
    <hyperlink r:id="rId232" ref="H201"/>
    <hyperlink r:id="rId233" ref="H202"/>
    <hyperlink r:id="rId234" ref="H203"/>
    <hyperlink r:id="rId235" ref="A204"/>
    <hyperlink r:id="rId236" ref="H204"/>
    <hyperlink r:id="rId237" ref="A205"/>
    <hyperlink r:id="rId238" ref="H205"/>
    <hyperlink r:id="rId239" ref="A206"/>
    <hyperlink r:id="rId240" ref="H206"/>
    <hyperlink r:id="rId241" ref="A207"/>
    <hyperlink r:id="rId242" ref="H207"/>
    <hyperlink r:id="rId243" ref="A208"/>
    <hyperlink r:id="rId244" ref="H208"/>
    <hyperlink r:id="rId245" ref="A209"/>
    <hyperlink r:id="rId246" ref="H209"/>
    <hyperlink r:id="rId247" ref="A210"/>
    <hyperlink r:id="rId248" ref="H210"/>
    <hyperlink r:id="rId249" ref="A211"/>
    <hyperlink r:id="rId250" ref="H211"/>
    <hyperlink r:id="rId251" ref="A212"/>
    <hyperlink r:id="rId252" ref="H212"/>
    <hyperlink r:id="rId253" ref="A213"/>
    <hyperlink r:id="rId254" ref="H213"/>
    <hyperlink r:id="rId255" ref="A214"/>
    <hyperlink r:id="rId256" ref="H214"/>
    <hyperlink r:id="rId257" ref="A215"/>
    <hyperlink r:id="rId258" ref="H215"/>
    <hyperlink r:id="rId259" ref="A216"/>
    <hyperlink r:id="rId260" ref="H216"/>
    <hyperlink r:id="rId261" ref="A217"/>
    <hyperlink r:id="rId262" ref="H217"/>
    <hyperlink r:id="rId263" ref="A218"/>
    <hyperlink r:id="rId264" ref="H218"/>
    <hyperlink r:id="rId265" ref="A219"/>
    <hyperlink r:id="rId266" ref="H219"/>
    <hyperlink r:id="rId267" ref="A220"/>
    <hyperlink r:id="rId268" ref="H220"/>
    <hyperlink r:id="rId269" ref="A221"/>
    <hyperlink r:id="rId270" ref="H221"/>
    <hyperlink r:id="rId271" ref="A222"/>
    <hyperlink r:id="rId272" ref="H222"/>
    <hyperlink r:id="rId273" ref="A223"/>
    <hyperlink r:id="rId274" ref="H223"/>
    <hyperlink r:id="rId275" ref="A224"/>
    <hyperlink r:id="rId276" ref="H224"/>
    <hyperlink r:id="rId277" ref="A225"/>
    <hyperlink r:id="rId278" ref="H225"/>
    <hyperlink r:id="rId279" ref="A226"/>
    <hyperlink r:id="rId280" ref="H226"/>
    <hyperlink r:id="rId281" ref="A227"/>
    <hyperlink r:id="rId282" ref="H227"/>
    <hyperlink r:id="rId283" ref="A228"/>
    <hyperlink r:id="rId284" ref="H228"/>
    <hyperlink r:id="rId285" ref="A229"/>
    <hyperlink r:id="rId286" ref="H229"/>
    <hyperlink r:id="rId287" ref="A230"/>
    <hyperlink r:id="rId288" ref="H230"/>
    <hyperlink r:id="rId289" ref="A231"/>
    <hyperlink r:id="rId290" ref="H231"/>
    <hyperlink r:id="rId291" ref="A232"/>
    <hyperlink r:id="rId292" ref="H232"/>
    <hyperlink r:id="rId293" ref="A233"/>
    <hyperlink r:id="rId294" ref="H233"/>
    <hyperlink r:id="rId295" ref="A234"/>
    <hyperlink r:id="rId296" ref="H234"/>
    <hyperlink r:id="rId297" ref="A235"/>
    <hyperlink r:id="rId298" ref="H235"/>
    <hyperlink r:id="rId299" ref="A236"/>
    <hyperlink r:id="rId300" ref="H236"/>
    <hyperlink r:id="rId301" ref="A237"/>
    <hyperlink r:id="rId302" ref="H237"/>
    <hyperlink r:id="rId303" ref="A238"/>
    <hyperlink r:id="rId304" ref="H238"/>
    <hyperlink r:id="rId305" ref="A239"/>
    <hyperlink r:id="rId306" ref="H239"/>
    <hyperlink r:id="rId307" ref="A240"/>
    <hyperlink r:id="rId308" ref="H240"/>
    <hyperlink r:id="rId309" ref="A241"/>
    <hyperlink r:id="rId310" ref="H241"/>
    <hyperlink r:id="rId311" ref="A242"/>
    <hyperlink r:id="rId312" ref="H242"/>
    <hyperlink r:id="rId313" ref="A243"/>
    <hyperlink r:id="rId314" ref="H243"/>
    <hyperlink r:id="rId315" ref="A244"/>
    <hyperlink r:id="rId316" ref="H244"/>
    <hyperlink r:id="rId317" ref="A245"/>
    <hyperlink r:id="rId318" ref="H245"/>
    <hyperlink r:id="rId319" ref="A246"/>
    <hyperlink r:id="rId320" ref="H246"/>
    <hyperlink r:id="rId321" ref="A247"/>
    <hyperlink r:id="rId322" ref="H247"/>
    <hyperlink r:id="rId323" ref="A248"/>
    <hyperlink r:id="rId324" ref="H248"/>
    <hyperlink r:id="rId325" ref="A249"/>
    <hyperlink r:id="rId326" ref="H249"/>
    <hyperlink r:id="rId327" ref="A250"/>
    <hyperlink r:id="rId328" ref="H250"/>
    <hyperlink r:id="rId329" ref="A251"/>
    <hyperlink r:id="rId330" ref="H251"/>
    <hyperlink r:id="rId331" ref="A252"/>
    <hyperlink r:id="rId332" ref="H252"/>
    <hyperlink r:id="rId333" ref="A253"/>
    <hyperlink r:id="rId334" ref="H253"/>
    <hyperlink r:id="rId335" ref="A254"/>
    <hyperlink r:id="rId336" ref="H254"/>
    <hyperlink r:id="rId337" ref="A255"/>
    <hyperlink r:id="rId338" ref="H255"/>
    <hyperlink r:id="rId339" ref="A256"/>
    <hyperlink r:id="rId340" ref="H256"/>
    <hyperlink r:id="rId341" ref="A257"/>
    <hyperlink r:id="rId342" ref="H257"/>
    <hyperlink r:id="rId343" ref="A258"/>
    <hyperlink r:id="rId344" ref="H258"/>
    <hyperlink r:id="rId345" ref="A259"/>
    <hyperlink r:id="rId346" ref="H259"/>
    <hyperlink r:id="rId347" ref="A260"/>
    <hyperlink r:id="rId348" ref="H260"/>
    <hyperlink r:id="rId349" ref="A261"/>
    <hyperlink r:id="rId350" ref="H261"/>
    <hyperlink r:id="rId351" ref="A262"/>
    <hyperlink r:id="rId352" ref="H262"/>
    <hyperlink r:id="rId353" ref="A263"/>
    <hyperlink r:id="rId354" ref="H263"/>
    <hyperlink r:id="rId355" ref="A264"/>
    <hyperlink r:id="rId356" ref="H264"/>
    <hyperlink r:id="rId357" ref="H265"/>
    <hyperlink r:id="rId358" ref="H266"/>
    <hyperlink r:id="rId359" ref="H267"/>
    <hyperlink r:id="rId360" ref="H268"/>
    <hyperlink r:id="rId361" ref="H269"/>
    <hyperlink r:id="rId362" ref="H270"/>
    <hyperlink r:id="rId363" ref="H271"/>
    <hyperlink r:id="rId364" ref="H272"/>
    <hyperlink r:id="rId365" ref="H273"/>
    <hyperlink r:id="rId366" ref="H274"/>
    <hyperlink r:id="rId367" ref="H275"/>
    <hyperlink r:id="rId368" ref="H276"/>
    <hyperlink r:id="rId369" ref="H277"/>
    <hyperlink r:id="rId370" ref="H278"/>
    <hyperlink r:id="rId371" ref="A279"/>
    <hyperlink r:id="rId372" ref="H279"/>
    <hyperlink r:id="rId373" ref="H280"/>
    <hyperlink r:id="rId374" ref="A281"/>
    <hyperlink r:id="rId375" ref="H281"/>
    <hyperlink r:id="rId376" ref="A282"/>
    <hyperlink r:id="rId377" ref="H282"/>
    <hyperlink r:id="rId378" ref="A283"/>
    <hyperlink r:id="rId379" ref="H283"/>
    <hyperlink r:id="rId380" ref="A284"/>
    <hyperlink r:id="rId381" ref="H284"/>
    <hyperlink r:id="rId382" ref="A285"/>
    <hyperlink r:id="rId383" ref="H285"/>
    <hyperlink r:id="rId384" ref="A286"/>
    <hyperlink r:id="rId385" ref="H286"/>
    <hyperlink r:id="rId386" ref="A287"/>
    <hyperlink r:id="rId387" ref="H287"/>
    <hyperlink r:id="rId388" ref="A288"/>
    <hyperlink r:id="rId389" ref="H288"/>
    <hyperlink r:id="rId390" ref="A289"/>
    <hyperlink r:id="rId391" ref="H289"/>
    <hyperlink r:id="rId392" ref="A290"/>
    <hyperlink r:id="rId393" ref="H290"/>
    <hyperlink r:id="rId394" ref="A291"/>
    <hyperlink r:id="rId395" ref="H291"/>
    <hyperlink r:id="rId396" ref="A292"/>
    <hyperlink r:id="rId397" ref="H292"/>
    <hyperlink r:id="rId398" ref="A293"/>
    <hyperlink r:id="rId399" ref="H293"/>
    <hyperlink r:id="rId400" ref="A294"/>
    <hyperlink r:id="rId401" ref="J294"/>
    <hyperlink r:id="rId402" ref="A295"/>
    <hyperlink r:id="rId403" ref="J295"/>
    <hyperlink r:id="rId404" ref="A296"/>
    <hyperlink r:id="rId405" ref="J296"/>
    <hyperlink r:id="rId406" ref="A297"/>
    <hyperlink r:id="rId407" ref="J297"/>
    <hyperlink r:id="rId408" ref="A298"/>
    <hyperlink r:id="rId409" ref="J298"/>
    <hyperlink r:id="rId410" ref="U298"/>
    <hyperlink r:id="rId411" ref="A299"/>
    <hyperlink r:id="rId412" ref="J299"/>
    <hyperlink r:id="rId413" ref="A300"/>
    <hyperlink r:id="rId414" ref="J300"/>
    <hyperlink r:id="rId415" ref="A301"/>
    <hyperlink r:id="rId416" ref="J301"/>
    <hyperlink r:id="rId417" ref="A302"/>
    <hyperlink r:id="rId418" ref="H302"/>
    <hyperlink r:id="rId419" ref="J302"/>
    <hyperlink r:id="rId420" ref="A303"/>
    <hyperlink r:id="rId421" ref="H303"/>
    <hyperlink r:id="rId422" ref="J303"/>
    <hyperlink r:id="rId423" ref="A304"/>
    <hyperlink r:id="rId424" ref="H304"/>
    <hyperlink r:id="rId425" ref="J304"/>
    <hyperlink r:id="rId426" ref="A305"/>
    <hyperlink r:id="rId427" ref="H305"/>
    <hyperlink r:id="rId428" ref="J305"/>
    <hyperlink r:id="rId429" ref="A306"/>
    <hyperlink r:id="rId430" ref="H306"/>
    <hyperlink r:id="rId431" ref="J306"/>
    <hyperlink r:id="rId432" ref="A307"/>
    <hyperlink r:id="rId433" ref="H307"/>
    <hyperlink r:id="rId434" ref="J307"/>
    <hyperlink r:id="rId435" ref="A308"/>
    <hyperlink r:id="rId436" ref="H308"/>
    <hyperlink r:id="rId437" ref="J308"/>
    <hyperlink r:id="rId438" ref="A309"/>
    <hyperlink r:id="rId439" ref="H309"/>
    <hyperlink r:id="rId440" ref="J309"/>
    <hyperlink r:id="rId441" ref="A310"/>
    <hyperlink r:id="rId442" ref="H310"/>
    <hyperlink r:id="rId443" ref="J310"/>
    <hyperlink r:id="rId444" ref="A311"/>
    <hyperlink r:id="rId445" ref="H311"/>
    <hyperlink r:id="rId446" ref="J311"/>
    <hyperlink r:id="rId447" ref="A312"/>
    <hyperlink r:id="rId448" ref="H312"/>
    <hyperlink r:id="rId449" ref="J312"/>
    <hyperlink r:id="rId450" ref="A313"/>
    <hyperlink r:id="rId451" ref="H313"/>
    <hyperlink r:id="rId452" ref="J313"/>
    <hyperlink r:id="rId453" ref="A314"/>
    <hyperlink r:id="rId454" ref="H314"/>
    <hyperlink r:id="rId455" ref="J314"/>
    <hyperlink r:id="rId456" ref="A315"/>
    <hyperlink r:id="rId457" ref="H315"/>
    <hyperlink r:id="rId458" ref="J315"/>
    <hyperlink r:id="rId459" ref="A316"/>
    <hyperlink r:id="rId460" ref="H316"/>
    <hyperlink r:id="rId461" ref="J316"/>
    <hyperlink r:id="rId462" ref="A317"/>
    <hyperlink r:id="rId463" ref="H317"/>
    <hyperlink r:id="rId464" ref="J317"/>
    <hyperlink r:id="rId465" ref="A318"/>
    <hyperlink r:id="rId466" ref="H318"/>
    <hyperlink r:id="rId467" ref="J318"/>
    <hyperlink r:id="rId468" ref="A319"/>
    <hyperlink r:id="rId469" ref="H319"/>
    <hyperlink r:id="rId470" ref="J319"/>
    <hyperlink r:id="rId471" ref="A320"/>
    <hyperlink r:id="rId472" ref="H320"/>
    <hyperlink r:id="rId473" ref="J320"/>
    <hyperlink r:id="rId474" ref="A321"/>
    <hyperlink r:id="rId475" ref="H321"/>
    <hyperlink r:id="rId476" ref="J321"/>
    <hyperlink r:id="rId477" ref="A322"/>
    <hyperlink r:id="rId478" ref="H322"/>
    <hyperlink r:id="rId479" ref="J322"/>
    <hyperlink r:id="rId480" ref="A323"/>
    <hyperlink r:id="rId481" ref="H323"/>
    <hyperlink r:id="rId482" ref="J323"/>
    <hyperlink r:id="rId483" ref="A324"/>
    <hyperlink r:id="rId484" ref="H324"/>
    <hyperlink r:id="rId485" ref="J324"/>
    <hyperlink r:id="rId486" ref="A325"/>
    <hyperlink r:id="rId487" ref="H325"/>
    <hyperlink r:id="rId488" ref="J325"/>
  </hyperlinks>
  <drawing r:id="rId48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5.25"/>
  </cols>
  <sheetData>
    <row r="1" ht="369.0" customHeight="1">
      <c r="A1" s="8" t="s">
        <v>6</v>
      </c>
    </row>
  </sheetData>
  <hyperlinks>
    <hyperlink r:id="rId1" ref="A1"/>
  </hyperlinks>
  <drawing r:id="rId2"/>
</worksheet>
</file>